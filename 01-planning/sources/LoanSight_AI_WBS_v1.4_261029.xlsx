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kdh80\Desktop\KB-Bridge\최종 Project\docs\WBS\"/>
    </mc:Choice>
  </mc:AlternateContent>
  <xr:revisionPtr revIDLastSave="0" documentId="13_ncr:1_{17F0D9D3-C692-4442-963B-70048A45F769}" xr6:coauthVersionLast="47" xr6:coauthVersionMax="47" xr10:uidLastSave="{00000000-0000-0000-0000-000000000000}"/>
  <bookViews>
    <workbookView xWindow="-120" yWindow="-120" windowWidth="29040" windowHeight="15720" xr2:uid="{00000000-000D-0000-FFFF-FFFF00000000}"/>
  </bookViews>
  <sheets>
    <sheet name="한눈에 보기" sheetId="1" r:id="rId1"/>
    <sheet name="작업 관리" sheetId="2" r:id="rId2"/>
    <sheet name="일정" sheetId="3" r:id="rId3"/>
    <sheet name="완료 기준" sheetId="4" r:id="rId4"/>
    <sheet name="이전 완료 이력" sheetId="5" r:id="rId5"/>
    <sheet name="개정 이력" sheetId="6" r:id="rId6"/>
    <sheet name="이번 개정 제외" sheetId="7" r:id="rId7"/>
  </sheets>
  <definedNames>
    <definedName name="_xlnm.Print_Area" localSheetId="0">'한눈에 보기'!$A$1:$H$25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61" i="3" l="1"/>
  <c r="R61" i="3"/>
  <c r="Q61" i="3"/>
  <c r="P61" i="3"/>
  <c r="O61" i="3"/>
  <c r="N61" i="3"/>
  <c r="M61" i="3"/>
  <c r="L61" i="3"/>
  <c r="K61" i="3"/>
  <c r="J61" i="3"/>
  <c r="I61" i="3"/>
  <c r="H61" i="3"/>
  <c r="G61" i="3"/>
  <c r="F61" i="3"/>
  <c r="E61" i="3"/>
  <c r="D61" i="3"/>
  <c r="S60" i="3"/>
  <c r="R60" i="3"/>
  <c r="Q60" i="3"/>
  <c r="P60" i="3"/>
  <c r="O60" i="3"/>
  <c r="N60" i="3"/>
  <c r="M60" i="3"/>
  <c r="L60" i="3"/>
  <c r="K60" i="3"/>
  <c r="J60" i="3"/>
  <c r="I60" i="3"/>
  <c r="H60" i="3"/>
  <c r="G60" i="3"/>
  <c r="F60" i="3"/>
  <c r="E60" i="3"/>
  <c r="D60" i="3"/>
  <c r="S59" i="3"/>
  <c r="R59" i="3"/>
  <c r="Q59" i="3"/>
  <c r="P59" i="3"/>
  <c r="O59" i="3"/>
  <c r="N59" i="3"/>
  <c r="M59" i="3"/>
  <c r="L59" i="3"/>
  <c r="K59" i="3"/>
  <c r="J59" i="3"/>
  <c r="I59" i="3"/>
  <c r="H59" i="3"/>
  <c r="G59" i="3"/>
  <c r="F59" i="3"/>
  <c r="E59" i="3"/>
  <c r="D59" i="3"/>
  <c r="S58" i="3"/>
  <c r="R58" i="3"/>
  <c r="Q58" i="3"/>
  <c r="P58" i="3"/>
  <c r="O58" i="3"/>
  <c r="N58" i="3"/>
  <c r="M58" i="3"/>
  <c r="L58" i="3"/>
  <c r="K58" i="3"/>
  <c r="J58" i="3"/>
  <c r="I58" i="3"/>
  <c r="H58" i="3"/>
  <c r="G58" i="3"/>
  <c r="F58" i="3"/>
  <c r="E58" i="3"/>
  <c r="D58" i="3"/>
  <c r="S57" i="3"/>
  <c r="R57" i="3"/>
  <c r="Q57" i="3"/>
  <c r="P57" i="3"/>
  <c r="O57" i="3"/>
  <c r="N57" i="3"/>
  <c r="M57" i="3"/>
  <c r="L57" i="3"/>
  <c r="K57" i="3"/>
  <c r="J57" i="3"/>
  <c r="I57" i="3"/>
  <c r="H57" i="3"/>
  <c r="G57" i="3"/>
  <c r="F57" i="3"/>
  <c r="E57" i="3"/>
  <c r="D57" i="3"/>
  <c r="S56" i="3"/>
  <c r="R56" i="3"/>
  <c r="Q56" i="3"/>
  <c r="P56" i="3"/>
  <c r="O56" i="3"/>
  <c r="N56" i="3"/>
  <c r="M56" i="3"/>
  <c r="L56" i="3"/>
  <c r="K56" i="3"/>
  <c r="J56" i="3"/>
  <c r="I56" i="3"/>
  <c r="H56" i="3"/>
  <c r="G56" i="3"/>
  <c r="F56" i="3"/>
  <c r="E56" i="3"/>
  <c r="D56" i="3"/>
  <c r="S55" i="3"/>
  <c r="R55" i="3"/>
  <c r="Q55" i="3"/>
  <c r="P55" i="3"/>
  <c r="O55" i="3"/>
  <c r="N55" i="3"/>
  <c r="M55" i="3"/>
  <c r="L55" i="3"/>
  <c r="K55" i="3"/>
  <c r="J55" i="3"/>
  <c r="I55" i="3"/>
  <c r="H55" i="3"/>
  <c r="G55" i="3"/>
  <c r="F55" i="3"/>
  <c r="E55" i="3"/>
  <c r="D55" i="3"/>
  <c r="S54" i="3"/>
  <c r="R54" i="3"/>
  <c r="Q54" i="3"/>
  <c r="P54" i="3"/>
  <c r="O54" i="3"/>
  <c r="N54" i="3"/>
  <c r="M54" i="3"/>
  <c r="L54" i="3"/>
  <c r="K54" i="3"/>
  <c r="J54" i="3"/>
  <c r="I54" i="3"/>
  <c r="H54" i="3"/>
  <c r="G54" i="3"/>
  <c r="F54" i="3"/>
  <c r="E54" i="3"/>
  <c r="D54" i="3"/>
  <c r="S53" i="3"/>
  <c r="R53" i="3"/>
  <c r="Q53" i="3"/>
  <c r="P53" i="3"/>
  <c r="O53" i="3"/>
  <c r="N53" i="3"/>
  <c r="M53" i="3"/>
  <c r="L53" i="3"/>
  <c r="K53" i="3"/>
  <c r="J53" i="3"/>
  <c r="I53" i="3"/>
  <c r="H53" i="3"/>
  <c r="G53" i="3"/>
  <c r="F53" i="3"/>
  <c r="E53" i="3"/>
  <c r="D53" i="3"/>
  <c r="S52" i="3"/>
  <c r="R52" i="3"/>
  <c r="Q52" i="3"/>
  <c r="P52" i="3"/>
  <c r="O52" i="3"/>
  <c r="N52" i="3"/>
  <c r="M52" i="3"/>
  <c r="L52" i="3"/>
  <c r="K52" i="3"/>
  <c r="J52" i="3"/>
  <c r="I52" i="3"/>
  <c r="H52" i="3"/>
  <c r="G52" i="3"/>
  <c r="F52" i="3"/>
  <c r="E52" i="3"/>
  <c r="D52" i="3"/>
  <c r="S51" i="3"/>
  <c r="R51" i="3"/>
  <c r="Q51" i="3"/>
  <c r="P51" i="3"/>
  <c r="O51" i="3"/>
  <c r="N51" i="3"/>
  <c r="M51" i="3"/>
  <c r="L51" i="3"/>
  <c r="K51" i="3"/>
  <c r="J51" i="3"/>
  <c r="I51" i="3"/>
  <c r="H51" i="3"/>
  <c r="G51" i="3"/>
  <c r="F51" i="3"/>
  <c r="E51" i="3"/>
  <c r="D51" i="3"/>
  <c r="S50" i="3"/>
  <c r="R50" i="3"/>
  <c r="Q50" i="3"/>
  <c r="P50" i="3"/>
  <c r="O50" i="3"/>
  <c r="N50" i="3"/>
  <c r="M50" i="3"/>
  <c r="L50" i="3"/>
  <c r="K50" i="3"/>
  <c r="J50" i="3"/>
  <c r="I50" i="3"/>
  <c r="H50" i="3"/>
  <c r="G50" i="3"/>
  <c r="F50" i="3"/>
  <c r="E50" i="3"/>
  <c r="D50" i="3"/>
  <c r="S49" i="3"/>
  <c r="R49" i="3"/>
  <c r="Q49" i="3"/>
  <c r="P49" i="3"/>
  <c r="O49" i="3"/>
  <c r="N49" i="3"/>
  <c r="M49" i="3"/>
  <c r="L49" i="3"/>
  <c r="K49" i="3"/>
  <c r="J49" i="3"/>
  <c r="I49" i="3"/>
  <c r="H49" i="3"/>
  <c r="G49" i="3"/>
  <c r="F49" i="3"/>
  <c r="E49" i="3"/>
  <c r="D49" i="3"/>
  <c r="S48" i="3"/>
  <c r="R48" i="3"/>
  <c r="Q48" i="3"/>
  <c r="P48" i="3"/>
  <c r="O48" i="3"/>
  <c r="N48" i="3"/>
  <c r="M48" i="3"/>
  <c r="L48" i="3"/>
  <c r="K48" i="3"/>
  <c r="J48" i="3"/>
  <c r="I48" i="3"/>
  <c r="H48" i="3"/>
  <c r="G48" i="3"/>
  <c r="F48" i="3"/>
  <c r="E48" i="3"/>
  <c r="D48" i="3"/>
  <c r="S47" i="3"/>
  <c r="R47" i="3"/>
  <c r="Q47" i="3"/>
  <c r="P47" i="3"/>
  <c r="O47" i="3"/>
  <c r="N47" i="3"/>
  <c r="M47" i="3"/>
  <c r="L47" i="3"/>
  <c r="K47" i="3"/>
  <c r="J47" i="3"/>
  <c r="I47" i="3"/>
  <c r="H47" i="3"/>
  <c r="G47" i="3"/>
  <c r="F47" i="3"/>
  <c r="E47" i="3"/>
  <c r="D47" i="3"/>
  <c r="S46" i="3"/>
  <c r="R46" i="3"/>
  <c r="Q46" i="3"/>
  <c r="P46" i="3"/>
  <c r="O46" i="3"/>
  <c r="N46" i="3"/>
  <c r="M46" i="3"/>
  <c r="L46" i="3"/>
  <c r="K46" i="3"/>
  <c r="J46" i="3"/>
  <c r="I46" i="3"/>
  <c r="H46" i="3"/>
  <c r="G46" i="3"/>
  <c r="F46" i="3"/>
  <c r="E46" i="3"/>
  <c r="D46" i="3"/>
  <c r="S45" i="3"/>
  <c r="R45" i="3"/>
  <c r="Q45" i="3"/>
  <c r="P45" i="3"/>
  <c r="O45" i="3"/>
  <c r="N45" i="3"/>
  <c r="M45" i="3"/>
  <c r="L45" i="3"/>
  <c r="K45" i="3"/>
  <c r="J45" i="3"/>
  <c r="I45" i="3"/>
  <c r="H45" i="3"/>
  <c r="G45" i="3"/>
  <c r="F45" i="3"/>
  <c r="E45" i="3"/>
  <c r="D45" i="3"/>
  <c r="S44" i="3"/>
  <c r="R44" i="3"/>
  <c r="Q44" i="3"/>
  <c r="P44" i="3"/>
  <c r="O44" i="3"/>
  <c r="N44" i="3"/>
  <c r="M44" i="3"/>
  <c r="L44" i="3"/>
  <c r="K44" i="3"/>
  <c r="J44" i="3"/>
  <c r="I44" i="3"/>
  <c r="H44" i="3"/>
  <c r="G44" i="3"/>
  <c r="F44" i="3"/>
  <c r="E44" i="3"/>
  <c r="D44" i="3"/>
  <c r="S43" i="3"/>
  <c r="R43" i="3"/>
  <c r="Q43" i="3"/>
  <c r="P43" i="3"/>
  <c r="O43" i="3"/>
  <c r="N43" i="3"/>
  <c r="M43" i="3"/>
  <c r="L43" i="3"/>
  <c r="K43" i="3"/>
  <c r="J43" i="3"/>
  <c r="I43" i="3"/>
  <c r="H43" i="3"/>
  <c r="G43" i="3"/>
  <c r="F43" i="3"/>
  <c r="E43" i="3"/>
  <c r="D43" i="3"/>
  <c r="S42" i="3"/>
  <c r="R42" i="3"/>
  <c r="Q42" i="3"/>
  <c r="P42" i="3"/>
  <c r="O42" i="3"/>
  <c r="N42" i="3"/>
  <c r="M42" i="3"/>
  <c r="L42" i="3"/>
  <c r="K42" i="3"/>
  <c r="J42" i="3"/>
  <c r="I42" i="3"/>
  <c r="H42" i="3"/>
  <c r="G42" i="3"/>
  <c r="F42" i="3"/>
  <c r="E42" i="3"/>
  <c r="D42" i="3"/>
  <c r="S41" i="3"/>
  <c r="R41" i="3"/>
  <c r="Q41" i="3"/>
  <c r="P41" i="3"/>
  <c r="O41" i="3"/>
  <c r="N41" i="3"/>
  <c r="M41" i="3"/>
  <c r="L41" i="3"/>
  <c r="K41" i="3"/>
  <c r="J41" i="3"/>
  <c r="I41" i="3"/>
  <c r="H41" i="3"/>
  <c r="G41" i="3"/>
  <c r="F41" i="3"/>
  <c r="E41" i="3"/>
  <c r="D41" i="3"/>
  <c r="S40" i="3"/>
  <c r="R40" i="3"/>
  <c r="Q40" i="3"/>
  <c r="P40" i="3"/>
  <c r="O40" i="3"/>
  <c r="N40" i="3"/>
  <c r="M40" i="3"/>
  <c r="L40" i="3"/>
  <c r="K40" i="3"/>
  <c r="J40" i="3"/>
  <c r="I40" i="3"/>
  <c r="H40" i="3"/>
  <c r="G40" i="3"/>
  <c r="F40" i="3"/>
  <c r="E40" i="3"/>
  <c r="D40" i="3"/>
  <c r="S39" i="3"/>
  <c r="R39" i="3"/>
  <c r="Q39" i="3"/>
  <c r="P39" i="3"/>
  <c r="O39" i="3"/>
  <c r="N39" i="3"/>
  <c r="M39" i="3"/>
  <c r="L39" i="3"/>
  <c r="K39" i="3"/>
  <c r="J39" i="3"/>
  <c r="I39" i="3"/>
  <c r="H39" i="3"/>
  <c r="G39" i="3"/>
  <c r="F39" i="3"/>
  <c r="E39" i="3"/>
  <c r="D39" i="3"/>
  <c r="S38" i="3"/>
  <c r="R38" i="3"/>
  <c r="Q38" i="3"/>
  <c r="P38" i="3"/>
  <c r="O38" i="3"/>
  <c r="N38" i="3"/>
  <c r="M38" i="3"/>
  <c r="L38" i="3"/>
  <c r="K38" i="3"/>
  <c r="J38" i="3"/>
  <c r="I38" i="3"/>
  <c r="H38" i="3"/>
  <c r="G38" i="3"/>
  <c r="F38" i="3"/>
  <c r="E38" i="3"/>
  <c r="D38" i="3"/>
  <c r="S37" i="3"/>
  <c r="R37" i="3"/>
  <c r="Q37" i="3"/>
  <c r="P37" i="3"/>
  <c r="O37" i="3"/>
  <c r="N37" i="3"/>
  <c r="M37" i="3"/>
  <c r="L37" i="3"/>
  <c r="K37" i="3"/>
  <c r="J37" i="3"/>
  <c r="I37" i="3"/>
  <c r="H37" i="3"/>
  <c r="G37" i="3"/>
  <c r="F37" i="3"/>
  <c r="E37" i="3"/>
  <c r="D37" i="3"/>
  <c r="S36" i="3"/>
  <c r="R36" i="3"/>
  <c r="Q36" i="3"/>
  <c r="P36" i="3"/>
  <c r="O36" i="3"/>
  <c r="N36" i="3"/>
  <c r="M36" i="3"/>
  <c r="L36" i="3"/>
  <c r="K36" i="3"/>
  <c r="J36" i="3"/>
  <c r="I36" i="3"/>
  <c r="H36" i="3"/>
  <c r="G36" i="3"/>
  <c r="F36" i="3"/>
  <c r="E36" i="3"/>
  <c r="D36" i="3"/>
  <c r="S35" i="3"/>
  <c r="R35" i="3"/>
  <c r="Q35" i="3"/>
  <c r="P35" i="3"/>
  <c r="O35" i="3"/>
  <c r="N35" i="3"/>
  <c r="M35" i="3"/>
  <c r="L35" i="3"/>
  <c r="K35" i="3"/>
  <c r="J35" i="3"/>
  <c r="I35" i="3"/>
  <c r="H35" i="3"/>
  <c r="G35" i="3"/>
  <c r="F35" i="3"/>
  <c r="E35" i="3"/>
  <c r="D35" i="3"/>
  <c r="S34" i="3"/>
  <c r="R34" i="3"/>
  <c r="Q34" i="3"/>
  <c r="P34" i="3"/>
  <c r="O34" i="3"/>
  <c r="N34" i="3"/>
  <c r="M34" i="3"/>
  <c r="L34" i="3"/>
  <c r="K34" i="3"/>
  <c r="J34" i="3"/>
  <c r="I34" i="3"/>
  <c r="H34" i="3"/>
  <c r="G34" i="3"/>
  <c r="F34" i="3"/>
  <c r="E34" i="3"/>
  <c r="D34" i="3"/>
  <c r="S33" i="3"/>
  <c r="R33" i="3"/>
  <c r="Q33" i="3"/>
  <c r="P33" i="3"/>
  <c r="O33" i="3"/>
  <c r="N33" i="3"/>
  <c r="M33" i="3"/>
  <c r="L33" i="3"/>
  <c r="K33" i="3"/>
  <c r="J33" i="3"/>
  <c r="I33" i="3"/>
  <c r="H33" i="3"/>
  <c r="G33" i="3"/>
  <c r="F33" i="3"/>
  <c r="E33" i="3"/>
  <c r="D33" i="3"/>
  <c r="S32" i="3"/>
  <c r="R32" i="3"/>
  <c r="Q32" i="3"/>
  <c r="P32" i="3"/>
  <c r="O32" i="3"/>
  <c r="N32" i="3"/>
  <c r="M32" i="3"/>
  <c r="L32" i="3"/>
  <c r="K32" i="3"/>
  <c r="J32" i="3"/>
  <c r="I32" i="3"/>
  <c r="H32" i="3"/>
  <c r="G32" i="3"/>
  <c r="F32" i="3"/>
  <c r="E32" i="3"/>
  <c r="D32" i="3"/>
  <c r="S31" i="3"/>
  <c r="R31" i="3"/>
  <c r="Q31" i="3"/>
  <c r="P31" i="3"/>
  <c r="O31" i="3"/>
  <c r="N31" i="3"/>
  <c r="M31" i="3"/>
  <c r="L31" i="3"/>
  <c r="K31" i="3"/>
  <c r="J31" i="3"/>
  <c r="I31" i="3"/>
  <c r="H31" i="3"/>
  <c r="G31" i="3"/>
  <c r="F31" i="3"/>
  <c r="E31" i="3"/>
  <c r="D31" i="3"/>
  <c r="S30" i="3"/>
  <c r="R30" i="3"/>
  <c r="Q30" i="3"/>
  <c r="P30" i="3"/>
  <c r="O30" i="3"/>
  <c r="N30" i="3"/>
  <c r="M30" i="3"/>
  <c r="L30" i="3"/>
  <c r="K30" i="3"/>
  <c r="J30" i="3"/>
  <c r="I30" i="3"/>
  <c r="H30" i="3"/>
  <c r="G30" i="3"/>
  <c r="F30" i="3"/>
  <c r="E30" i="3"/>
  <c r="D30" i="3"/>
  <c r="S29" i="3"/>
  <c r="R29" i="3"/>
  <c r="Q29" i="3"/>
  <c r="P29" i="3"/>
  <c r="O29" i="3"/>
  <c r="N29" i="3"/>
  <c r="M29" i="3"/>
  <c r="L29" i="3"/>
  <c r="K29" i="3"/>
  <c r="J29" i="3"/>
  <c r="I29" i="3"/>
  <c r="H29" i="3"/>
  <c r="G29" i="3"/>
  <c r="F29" i="3"/>
  <c r="E29" i="3"/>
  <c r="D29" i="3"/>
  <c r="S28" i="3"/>
  <c r="R28" i="3"/>
  <c r="Q28" i="3"/>
  <c r="P28" i="3"/>
  <c r="O28" i="3"/>
  <c r="N28" i="3"/>
  <c r="M28" i="3"/>
  <c r="L28" i="3"/>
  <c r="K28" i="3"/>
  <c r="J28" i="3"/>
  <c r="I28" i="3"/>
  <c r="H28" i="3"/>
  <c r="G28" i="3"/>
  <c r="F28" i="3"/>
  <c r="E28" i="3"/>
  <c r="D28" i="3"/>
  <c r="S27" i="3"/>
  <c r="R27" i="3"/>
  <c r="Q27" i="3"/>
  <c r="P27" i="3"/>
  <c r="O27" i="3"/>
  <c r="N27" i="3"/>
  <c r="M27" i="3"/>
  <c r="L27" i="3"/>
  <c r="K27" i="3"/>
  <c r="J27" i="3"/>
  <c r="I27" i="3"/>
  <c r="H27" i="3"/>
  <c r="G27" i="3"/>
  <c r="F27" i="3"/>
  <c r="E27" i="3"/>
  <c r="D27" i="3"/>
  <c r="S26" i="3"/>
  <c r="R26" i="3"/>
  <c r="Q26" i="3"/>
  <c r="P26" i="3"/>
  <c r="O26" i="3"/>
  <c r="N26" i="3"/>
  <c r="M26" i="3"/>
  <c r="L26" i="3"/>
  <c r="K26" i="3"/>
  <c r="J26" i="3"/>
  <c r="I26" i="3"/>
  <c r="H26" i="3"/>
  <c r="G26" i="3"/>
  <c r="F26" i="3"/>
  <c r="E26" i="3"/>
  <c r="D26" i="3"/>
  <c r="S25" i="3"/>
  <c r="R25" i="3"/>
  <c r="Q25" i="3"/>
  <c r="P25" i="3"/>
  <c r="O25" i="3"/>
  <c r="N25" i="3"/>
  <c r="M25" i="3"/>
  <c r="L25" i="3"/>
  <c r="K25" i="3"/>
  <c r="J25" i="3"/>
  <c r="I25" i="3"/>
  <c r="H25" i="3"/>
  <c r="G25" i="3"/>
  <c r="F25" i="3"/>
  <c r="E25" i="3"/>
  <c r="D25" i="3"/>
  <c r="S24" i="3"/>
  <c r="R24" i="3"/>
  <c r="Q24" i="3"/>
  <c r="P24" i="3"/>
  <c r="O24" i="3"/>
  <c r="N24" i="3"/>
  <c r="M24" i="3"/>
  <c r="L24" i="3"/>
  <c r="K24" i="3"/>
  <c r="J24" i="3"/>
  <c r="I24" i="3"/>
  <c r="H24" i="3"/>
  <c r="G24" i="3"/>
  <c r="F24" i="3"/>
  <c r="E24" i="3"/>
  <c r="D24" i="3"/>
  <c r="S23" i="3"/>
  <c r="R23" i="3"/>
  <c r="Q23" i="3"/>
  <c r="P23" i="3"/>
  <c r="O23" i="3"/>
  <c r="N23" i="3"/>
  <c r="M23" i="3"/>
  <c r="L23" i="3"/>
  <c r="K23" i="3"/>
  <c r="J23" i="3"/>
  <c r="I23" i="3"/>
  <c r="H23" i="3"/>
  <c r="G23" i="3"/>
  <c r="F23" i="3"/>
  <c r="E23" i="3"/>
  <c r="D23" i="3"/>
  <c r="S22" i="3"/>
  <c r="R22" i="3"/>
  <c r="Q22" i="3"/>
  <c r="P22" i="3"/>
  <c r="O22" i="3"/>
  <c r="N22" i="3"/>
  <c r="M22" i="3"/>
  <c r="L22" i="3"/>
  <c r="K22" i="3"/>
  <c r="J22" i="3"/>
  <c r="I22" i="3"/>
  <c r="H22" i="3"/>
  <c r="G22" i="3"/>
  <c r="F22" i="3"/>
  <c r="E22" i="3"/>
  <c r="D22" i="3"/>
  <c r="S21" i="3"/>
  <c r="R21" i="3"/>
  <c r="Q21" i="3"/>
  <c r="P21" i="3"/>
  <c r="O21" i="3"/>
  <c r="N21" i="3"/>
  <c r="M21" i="3"/>
  <c r="L21" i="3"/>
  <c r="K21" i="3"/>
  <c r="J21" i="3"/>
  <c r="I21" i="3"/>
  <c r="H21" i="3"/>
  <c r="G21" i="3"/>
  <c r="F21" i="3"/>
  <c r="E21" i="3"/>
  <c r="D21" i="3"/>
  <c r="S20" i="3"/>
  <c r="R20" i="3"/>
  <c r="Q20" i="3"/>
  <c r="P20" i="3"/>
  <c r="O20" i="3"/>
  <c r="N20" i="3"/>
  <c r="M20" i="3"/>
  <c r="L20" i="3"/>
  <c r="K20" i="3"/>
  <c r="J20" i="3"/>
  <c r="I20" i="3"/>
  <c r="H20" i="3"/>
  <c r="G20" i="3"/>
  <c r="F20" i="3"/>
  <c r="E20" i="3"/>
  <c r="D20" i="3"/>
  <c r="S19" i="3"/>
  <c r="R19" i="3"/>
  <c r="Q19" i="3"/>
  <c r="P19" i="3"/>
  <c r="O19" i="3"/>
  <c r="N19" i="3"/>
  <c r="M19" i="3"/>
  <c r="L19" i="3"/>
  <c r="K19" i="3"/>
  <c r="J19" i="3"/>
  <c r="I19" i="3"/>
  <c r="H19" i="3"/>
  <c r="G19" i="3"/>
  <c r="F19" i="3"/>
  <c r="E19" i="3"/>
  <c r="D19" i="3"/>
  <c r="S18" i="3"/>
  <c r="R18" i="3"/>
  <c r="Q18" i="3"/>
  <c r="P18" i="3"/>
  <c r="O18" i="3"/>
  <c r="N18" i="3"/>
  <c r="M18" i="3"/>
  <c r="L18" i="3"/>
  <c r="K18" i="3"/>
  <c r="J18" i="3"/>
  <c r="I18" i="3"/>
  <c r="H18" i="3"/>
  <c r="G18" i="3"/>
  <c r="F18" i="3"/>
  <c r="E18" i="3"/>
  <c r="D18" i="3"/>
  <c r="S17" i="3"/>
  <c r="R17" i="3"/>
  <c r="Q17" i="3"/>
  <c r="P17" i="3"/>
  <c r="O17" i="3"/>
  <c r="N17" i="3"/>
  <c r="M17" i="3"/>
  <c r="L17" i="3"/>
  <c r="K17" i="3"/>
  <c r="J17" i="3"/>
  <c r="I17" i="3"/>
  <c r="H17" i="3"/>
  <c r="G17" i="3"/>
  <c r="F17" i="3"/>
  <c r="E17" i="3"/>
  <c r="D17" i="3"/>
  <c r="S16" i="3"/>
  <c r="R16" i="3"/>
  <c r="Q16" i="3"/>
  <c r="P16" i="3"/>
  <c r="O16" i="3"/>
  <c r="N16" i="3"/>
  <c r="M16" i="3"/>
  <c r="L16" i="3"/>
  <c r="K16" i="3"/>
  <c r="J16" i="3"/>
  <c r="I16" i="3"/>
  <c r="H16" i="3"/>
  <c r="G16" i="3"/>
  <c r="F16" i="3"/>
  <c r="E16" i="3"/>
  <c r="D16" i="3"/>
  <c r="S15" i="3"/>
  <c r="R15" i="3"/>
  <c r="Q15" i="3"/>
  <c r="P15" i="3"/>
  <c r="O15" i="3"/>
  <c r="N15" i="3"/>
  <c r="M15" i="3"/>
  <c r="L15" i="3"/>
  <c r="K15" i="3"/>
  <c r="J15" i="3"/>
  <c r="I15" i="3"/>
  <c r="H15" i="3"/>
  <c r="G15" i="3"/>
  <c r="F15" i="3"/>
  <c r="E15" i="3"/>
  <c r="D15" i="3"/>
  <c r="S14" i="3"/>
  <c r="R14" i="3"/>
  <c r="Q14" i="3"/>
  <c r="P14" i="3"/>
  <c r="O14" i="3"/>
  <c r="N14" i="3"/>
  <c r="M14" i="3"/>
  <c r="L14" i="3"/>
  <c r="K14" i="3"/>
  <c r="J14" i="3"/>
  <c r="I14" i="3"/>
  <c r="H14" i="3"/>
  <c r="G14" i="3"/>
  <c r="F14" i="3"/>
  <c r="E14" i="3"/>
  <c r="D14" i="3"/>
  <c r="S13" i="3"/>
  <c r="R13" i="3"/>
  <c r="Q13" i="3"/>
  <c r="P13" i="3"/>
  <c r="O13" i="3"/>
  <c r="N13" i="3"/>
  <c r="M13" i="3"/>
  <c r="L13" i="3"/>
  <c r="K13" i="3"/>
  <c r="J13" i="3"/>
  <c r="I13" i="3"/>
  <c r="H13" i="3"/>
  <c r="G13" i="3"/>
  <c r="F13" i="3"/>
  <c r="E13" i="3"/>
  <c r="D13" i="3"/>
  <c r="S12" i="3"/>
  <c r="R12" i="3"/>
  <c r="Q12" i="3"/>
  <c r="P12" i="3"/>
  <c r="O12" i="3"/>
  <c r="N12" i="3"/>
  <c r="M12" i="3"/>
  <c r="L12" i="3"/>
  <c r="K12" i="3"/>
  <c r="J12" i="3"/>
  <c r="I12" i="3"/>
  <c r="H12" i="3"/>
  <c r="G12" i="3"/>
  <c r="F12" i="3"/>
  <c r="E12" i="3"/>
  <c r="D12" i="3"/>
  <c r="S11" i="3"/>
  <c r="R11" i="3"/>
  <c r="Q11" i="3"/>
  <c r="P11" i="3"/>
  <c r="O11" i="3"/>
  <c r="N11" i="3"/>
  <c r="M11" i="3"/>
  <c r="L11" i="3"/>
  <c r="K11" i="3"/>
  <c r="J11" i="3"/>
  <c r="I11" i="3"/>
  <c r="H11" i="3"/>
  <c r="G11" i="3"/>
  <c r="F11" i="3"/>
  <c r="E11" i="3"/>
  <c r="D11" i="3"/>
  <c r="S10" i="3"/>
  <c r="R10" i="3"/>
  <c r="Q10" i="3"/>
  <c r="P10" i="3"/>
  <c r="O10" i="3"/>
  <c r="N10" i="3"/>
  <c r="M10" i="3"/>
  <c r="L10" i="3"/>
  <c r="K10" i="3"/>
  <c r="J10" i="3"/>
  <c r="I10" i="3"/>
  <c r="H10" i="3"/>
  <c r="G10" i="3"/>
  <c r="F10" i="3"/>
  <c r="E10" i="3"/>
  <c r="D10" i="3"/>
  <c r="S9" i="3"/>
  <c r="R9" i="3"/>
  <c r="Q9" i="3"/>
  <c r="P9" i="3"/>
  <c r="O9" i="3"/>
  <c r="N9" i="3"/>
  <c r="M9" i="3"/>
  <c r="L9" i="3"/>
  <c r="K9" i="3"/>
  <c r="J9" i="3"/>
  <c r="I9" i="3"/>
  <c r="H9" i="3"/>
  <c r="G9" i="3"/>
  <c r="F9" i="3"/>
  <c r="E9" i="3"/>
  <c r="D9" i="3"/>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3" i="2"/>
  <c r="J22" i="2"/>
  <c r="J21" i="2"/>
  <c r="J20" i="2"/>
  <c r="J19" i="2"/>
  <c r="J18" i="2"/>
  <c r="J17" i="2"/>
  <c r="J16" i="2"/>
  <c r="J15" i="2"/>
  <c r="J14" i="2"/>
  <c r="J13" i="2"/>
  <c r="J12" i="2"/>
  <c r="J11" i="2"/>
  <c r="J10" i="2"/>
  <c r="J9" i="2"/>
  <c r="H18" i="1"/>
  <c r="G18" i="1"/>
  <c r="F18" i="1"/>
  <c r="E18" i="1"/>
  <c r="D18" i="1"/>
  <c r="C18" i="1"/>
  <c r="H17" i="1"/>
  <c r="G17" i="1"/>
  <c r="F17" i="1"/>
  <c r="E17" i="1"/>
  <c r="D17" i="1"/>
  <c r="C17" i="1"/>
  <c r="H16" i="1"/>
  <c r="G16" i="1"/>
  <c r="F16" i="1"/>
  <c r="E16" i="1"/>
  <c r="D16" i="1"/>
  <c r="C16" i="1"/>
  <c r="H15" i="1"/>
  <c r="G15" i="1"/>
  <c r="F15" i="1"/>
  <c r="E15" i="1"/>
  <c r="D15" i="1"/>
  <c r="C15" i="1"/>
  <c r="H14" i="1"/>
  <c r="G14" i="1"/>
  <c r="F14" i="1"/>
  <c r="E14" i="1"/>
  <c r="D14" i="1"/>
  <c r="C14" i="1"/>
  <c r="H13" i="1"/>
  <c r="G13" i="1"/>
  <c r="F13" i="1"/>
  <c r="E13" i="1"/>
  <c r="D13" i="1"/>
  <c r="C13" i="1"/>
  <c r="H12" i="1"/>
  <c r="G12" i="1"/>
  <c r="F12" i="1"/>
  <c r="E12" i="1"/>
  <c r="D12" i="1"/>
  <c r="C12" i="1"/>
  <c r="H8" i="1"/>
  <c r="F8" i="1"/>
  <c r="D8" i="1"/>
  <c r="B8" i="1"/>
</calcChain>
</file>

<file path=xl/sharedStrings.xml><?xml version="1.0" encoding="utf-8"?>
<sst xmlns="http://schemas.openxmlformats.org/spreadsheetml/2006/main" count="1086" uniqueCount="464">
  <si>
    <t>버전</t>
  </si>
  <si>
    <t>변경 내용</t>
  </si>
  <si>
    <t>개정일</t>
  </si>
  <si>
    <t>원저자/개정자</t>
  </si>
  <si>
    <t>검토·승인</t>
  </si>
  <si>
    <t>상태</t>
  </si>
  <si>
    <t>v1.1</t>
  </si>
  <si>
    <t>이전 기준 반영. 원문 보존.</t>
  </si>
  <si>
    <t>김동혁</t>
  </si>
  <si>
    <t>미정</t>
  </si>
  <si>
    <t>이전본</t>
  </si>
  <si>
    <t>v1.2</t>
  </si>
  <si>
    <t>상태·근거 갱신. 누락된 개정 이력 보정.</t>
  </si>
  <si>
    <t>최수인</t>
  </si>
  <si>
    <t>전체 항목</t>
  </si>
  <si>
    <t>완료 확인</t>
  </si>
  <si>
    <t>진행 미확인</t>
  </si>
  <si>
    <t>예정</t>
  </si>
  <si>
    <t>단계별 계획</t>
  </si>
  <si>
    <t>단계</t>
  </si>
  <si>
    <t>핵심 산출물</t>
  </si>
  <si>
    <t>필수</t>
  </si>
  <si>
    <t>보완</t>
  </si>
  <si>
    <t>마일스톤</t>
  </si>
  <si>
    <t>시작</t>
  </si>
  <si>
    <t>마감</t>
  </si>
  <si>
    <t>기획·범위</t>
  </si>
  <si>
    <t>현행 서비스 작업</t>
  </si>
  <si>
    <t>데이터</t>
  </si>
  <si>
    <t>분석·화면</t>
  </si>
  <si>
    <t>AI·뉴스</t>
  </si>
  <si>
    <t>위험 사건 예측</t>
  </si>
  <si>
    <t>통합·운영</t>
  </si>
  <si>
    <t>제출·발표</t>
  </si>
  <si>
    <t>현재 문서 기준</t>
  </si>
  <si>
    <t>팀 품질관리 문서</t>
  </si>
  <si>
    <t>https://app.notion.com/p/40680be201ba81ddb717d75d409cde98</t>
  </si>
  <si>
    <t>상태·진행률은 실제 확인값만 입력합니다. 완료는 진행률 100%와 완료근거를 함께 기록합니다.</t>
  </si>
  <si>
    <t>같은 날의 선행·후속 작업은 당일 인수인계를 전제로 합니다. 마감일만으로 완료 처리하지 않습니다.</t>
  </si>
  <si>
    <t>ID</t>
  </si>
  <si>
    <t>작업</t>
  </si>
  <si>
    <t>주담당</t>
  </si>
  <si>
    <t>진행률</t>
  </si>
  <si>
    <t>범위</t>
  </si>
  <si>
    <t>입력 확인</t>
  </si>
  <si>
    <t>2026년 10월 21일~11월 5일 계획. 셀 색은 작업 관리의 시작·마감일을 따라 바뀝니다.</t>
  </si>
  <si>
    <t>파랑은 작업 기간, 초록은 완료 작업, 보라는 마일스톤입니다. 옅은 회색 열은 주말입니다.</t>
  </si>
  <si>
    <t>달력일 기준 계획입니다. 교육 일정과 팀 가용 시간을 확인한 뒤 세부 날짜를 확정합니다.</t>
  </si>
  <si>
    <t>10월</t>
  </si>
  <si>
    <t>11월</t>
  </si>
  <si>
    <t>담당</t>
  </si>
  <si>
    <t>작업별 산출물·완료 조건·근거와 관련 요구(R)·기능(F)·미정 질문(U)을 ID로 연결합니다.</t>
  </si>
  <si>
    <t>주담당·계획은 작업 관리, 산출물·근거·연결은 같은 ID 기준입니다.</t>
  </si>
  <si>
    <t>주담당은 작업 관리에서 확인합니다. 기존 노션의 팀 메모는 보존하며 Markdown 상세에도 포함합니다.</t>
  </si>
  <si>
    <t>협업</t>
  </si>
  <si>
    <t>선행 ID</t>
  </si>
  <si>
    <t>산출물</t>
  </si>
  <si>
    <t>완료 기준</t>
  </si>
  <si>
    <t>완료근거</t>
  </si>
  <si>
    <t>관련 요구사항</t>
  </si>
  <si>
    <t>관련 기능</t>
  </si>
  <si>
    <t>미정 질문</t>
  </si>
  <si>
    <t>과거 문서 작성 완료 이력 — 현재 구현 완료가 아님</t>
  </si>
  <si>
    <t>이전 작업</t>
  </si>
  <si>
    <t>당시 상태</t>
  </si>
  <si>
    <t>당시 진행률</t>
  </si>
  <si>
    <t>당시 기록</t>
  </si>
  <si>
    <t>현재 적용 경계</t>
  </si>
  <si>
    <t>1.1</t>
  </si>
  <si>
    <t>기획안 v1.0 확정본 정리</t>
  </si>
  <si>
    <t>완료</t>
  </si>
  <si>
    <t>기획안_LoanSight AI_v1.0.docx</t>
  </si>
  <si>
    <t>재무·주석 결합 부도 예측, 역할·일정·확인·필수 기능을 반영한 v1.0 문서 확인. 기존 v1.0 완료 기록이며 이번 v2.0 반영 완료를 뜻하지 않는다.</t>
  </si>
  <si>
    <t>1.2</t>
  </si>
  <si>
    <t>기획 발표자료 v0.2 초안 보존</t>
  </si>
  <si>
    <t>KB-Bridge_LoanSight AI_기획발표_v0.2.0.pptx</t>
  </si>
  <si>
    <t>기존 11장·발표자 노트 초안 확인. v1.0 반영은 1.8에서 별도 수행. 기존 초안 보존 완료이며 최신 발표자료는 별도 검토한다.</t>
  </si>
  <si>
    <t>v1.4</t>
  </si>
  <si>
    <t>v2.3 통합 기획 반영·징후 기준 명확화·v2.1 확장 축소·CFS 우선/OFS 전환. 화면설계서 보존.</t>
  </si>
  <si>
    <t>검토 대기</t>
  </si>
  <si>
    <t>기획안 v2.3 / 요구사항 v0.0.7 / PRD·기능 v0.0.6. CFS 우선, 없으면 OFS.</t>
  </si>
  <si>
    <t>LoanSight AI 작업 관리 v1.4</t>
  </si>
  <si>
    <t>기획안 v2.3 / 요구사항 v0.0.7. 기존 담당·계획·진행·근거 보존.</t>
  </si>
  <si>
    <t>1.3</t>
  </si>
  <si>
    <t>범위와 역할 분담 합의</t>
  </si>
  <si>
    <t>진행중</t>
  </si>
  <si>
    <t>1.4</t>
  </si>
  <si>
    <t>확정 4개 업종과 수집 범위 점검</t>
  </si>
  <si>
    <t>김동민</t>
  </si>
  <si>
    <t>1.6</t>
  </si>
  <si>
    <t>재무비율·계정·업종 계산 기준 정의</t>
  </si>
  <si>
    <t>오준탁</t>
  </si>
  <si>
    <t>1.7</t>
  </si>
  <si>
    <t>상환·연체 위험 사건과 12개월 라벨 정의</t>
  </si>
  <si>
    <t>1.8</t>
  </si>
  <si>
    <t>기획 발표자료에 최신 범위 반영</t>
  </si>
  <si>
    <t>1.M1</t>
  </si>
  <si>
    <t>업종·데이터·모델 설계 기준 확정</t>
  </si>
  <si>
    <t>1.9</t>
  </si>
  <si>
    <t>v2.3 연계 범위와 미정 결정 정리</t>
  </si>
  <si>
    <t>1.10</t>
  </si>
  <si>
    <t>6개 판단 관점·업종 지표·징후 기준 정리</t>
  </si>
  <si>
    <t>2.7</t>
  </si>
  <si>
    <t>위험 사건 이력 수집과 원문 대조</t>
  </si>
  <si>
    <t>2.1</t>
  </si>
  <si>
    <t>재무·공시 수집과 출처 저장</t>
  </si>
  <si>
    <t>2.2</t>
  </si>
  <si>
    <t>계정 매핑과 비교 기준 정렬</t>
  </si>
  <si>
    <t>2.8</t>
  </si>
  <si>
    <t>과거 재무·주석 학습자료 수집</t>
  </si>
  <si>
    <t>2.3</t>
  </si>
  <si>
    <t>주석 구간·교차참조·출처 확보</t>
  </si>
  <si>
    <t>2.9</t>
  </si>
  <si>
    <t>12개월 라벨과 관측기간 구성</t>
  </si>
  <si>
    <t>2.11</t>
  </si>
  <si>
    <t>주석 원문 구간·추출 검출 상태 저장</t>
  </si>
  <si>
    <t>2.4</t>
  </si>
  <si>
    <t>데이터 정합성과 결측 점검</t>
  </si>
  <si>
    <t>2.6</t>
  </si>
  <si>
    <t>업종 비교 표본 확보와 정리</t>
  </si>
  <si>
    <t>3.2</t>
  </si>
  <si>
    <t>기업 검색과 업종 표시·필터</t>
  </si>
  <si>
    <t>서종원</t>
  </si>
  <si>
    <t>3.1</t>
  </si>
  <si>
    <t>변동 기여도와 재무비율 계산</t>
  </si>
  <si>
    <t>3.12</t>
  </si>
  <si>
    <t>겸업 판정·업종 변경 근거 기록</t>
  </si>
  <si>
    <t>3.3</t>
  </si>
  <si>
    <t>핵심 재무 대시보드와 차트</t>
  </si>
  <si>
    <t>3.8</t>
  </si>
  <si>
    <t>차입 상환능력·영업순환 지표 계산</t>
  </si>
  <si>
    <t>3.4</t>
  </si>
  <si>
    <t>확인 체크와 재무 검토 기록 초안</t>
  </si>
  <si>
    <t>3.6</t>
  </si>
  <si>
    <t>업종별 확인 기준 검토</t>
  </si>
  <si>
    <t>3.9</t>
  </si>
  <si>
    <t>업종 위험 지표·징후 단계 판정 연결</t>
  </si>
  <si>
    <t>3.11</t>
  </si>
  <si>
    <t>직접 입력·출처·재계산 경로 확인</t>
  </si>
  <si>
    <t>3.10</t>
  </si>
  <si>
    <t>기존 주석 화면에 업종 위험 패널·차트 연결</t>
  </si>
  <si>
    <t>3.5</t>
  </si>
  <si>
    <t>현금흐름 괴리와 업종 비교 분석</t>
  </si>
  <si>
    <t>3.7</t>
  </si>
  <si>
    <t>핵심 분석과 확인 항목 통합</t>
  </si>
  <si>
    <t>3.M2</t>
  </si>
  <si>
    <t>핵심 재무 기능 통합 완료 판단</t>
  </si>
  <si>
    <t>4.1</t>
  </si>
  <si>
    <t>주석 요약 형식과 확인 안내 정의</t>
  </si>
  <si>
    <t>4.2</t>
  </si>
  <si>
    <t>주석 위험 항목 추출과 AI 요약</t>
  </si>
  <si>
    <t>4.8</t>
  </si>
  <si>
    <t>공통 주석 6범주 추출 규칙 구현</t>
  </si>
  <si>
    <t>4.3</t>
  </si>
  <si>
    <t>뉴스 수집 방식과 후보 기사 확보</t>
  </si>
  <si>
    <t>4.9</t>
  </si>
  <si>
    <t>4개 업종별 주석 추가 추출 규칙 구현</t>
  </si>
  <si>
    <t>4.6</t>
  </si>
  <si>
    <t>주석 요약과 원문 근거 화면 연결</t>
  </si>
  <si>
    <t>4.7</t>
  </si>
  <si>
    <t>관련 뉴스 요약과 원문 링크 보완</t>
  </si>
  <si>
    <t>4.M3</t>
  </si>
  <si>
    <t>주석 요약 확인과 제공 형식 확정</t>
  </si>
  <si>
    <t>7.3</t>
  </si>
  <si>
    <t>주석 위험 항목의 수치 변수화</t>
  </si>
  <si>
    <t>7.4</t>
  </si>
  <si>
    <t>재무·주석 결합 위험 사건 모델 학습</t>
  </si>
  <si>
    <t>7.6</t>
  </si>
  <si>
    <t>위험 사건 예측 확률·근거·보류 화면</t>
  </si>
  <si>
    <t>7.7</t>
  </si>
  <si>
    <t>예측 결과를 검토 기록에 연결</t>
  </si>
  <si>
    <t>7.M7</t>
  </si>
  <si>
    <t>위험 사건 모델·화면 연동 기준 정리</t>
  </si>
  <si>
    <t>5.1</t>
  </si>
  <si>
    <t>접근 제어·인증키·배포 점검</t>
  </si>
  <si>
    <t>5.5</t>
  </si>
  <si>
    <t>서비스 오류 수정</t>
  </si>
  <si>
    <t>5.M4</t>
  </si>
  <si>
    <t>핵심 구현 통합 마감</t>
  </si>
  <si>
    <t>6.1</t>
  </si>
  <si>
    <t>실행 안내와 데이터 문서 정리</t>
  </si>
  <si>
    <t>6.2</t>
  </si>
  <si>
    <t>발표자료와 스토리 최종 반영</t>
  </si>
  <si>
    <t>6.3</t>
  </si>
  <si>
    <t>시연 영상과 예비 시연 준비</t>
  </si>
  <si>
    <t>6.4</t>
  </si>
  <si>
    <t>제출 파일과 재현성 점검</t>
  </si>
  <si>
    <t>6.5</t>
  </si>
  <si>
    <t>발표 리허설과 질의응답 준비</t>
  </si>
  <si>
    <t>6.M5</t>
  </si>
  <si>
    <t>최종 산출물 제출</t>
  </si>
  <si>
    <t>6.M6</t>
  </si>
  <si>
    <t>프로젝트 발표</t>
  </si>
  <si>
    <t>LoanSight AI 일정 v1.4</t>
  </si>
  <si>
    <t>LoanSight AI 완료 기준 v1.4</t>
  </si>
  <si>
    <t>전원</t>
  </si>
  <si>
    <t>범위·담당 확정 기록</t>
  </si>
  <si>
    <t>4개 업종·상환/연체 위험 사건 예측·주석/위험 패널 필수 범위와 5명 역할을 확인한다. 세부 배정·공수·백업·날짜의 최종 팀 합의를 기록한다.</t>
  </si>
  <si>
    <t>2026.10.28 검토: Slack 10/27 작업기록·현직자 Q&amp;A 및 기획안 v2.1에서 부분 진행 확인. 세부 합의는 남아 있음. https://kb-bridge12.slack.com/archives/C0C8L1KGVN1/p1793085285671109</t>
  </si>
  <si>
    <t>N-R01/N-R16/N-R30</t>
  </si>
  <si>
    <t>N-U08</t>
  </si>
  <si>
    <t>업종 매핑·대상 제외·수집 범위표</t>
  </si>
  <si>
    <t>제조·건설·도소매·부동산 임대 4개를 DART 코드로 매핑하고 금융/보험·지주·스팩·운수/창고·장비/물품 렌탈·부동산 관리/중개를 제외한다. 세부분류·겸업 기준과 기간은 미정으로 표시한다.</t>
  </si>
  <si>
    <t>N-R01/N-R32</t>
  </si>
  <si>
    <t>N-F01/N-F30</t>
  </si>
  <si>
    <t>N-U02/N-U15</t>
  </si>
  <si>
    <t>비율 산식·계정·예외·근거 사전</t>
  </si>
  <si>
    <t>차입금·EBITDA·이자비용·현금흐름·회전율/회전일수의 산식과 출처를 정리한다. 평균/기말 잔액·금융원가 근사·임대보증금 포함 여부는 미정으로 남기고 0/음수/결측 처리 기준을 구분한다.</t>
  </si>
  <si>
    <t>N-R05/N-R07/N-R09/N-R33/N-R34/N-R35</t>
  </si>
  <si>
    <t>N-F31/N-F32/N-F33</t>
  </si>
  <si>
    <t>N-U11/N-U13/N-U14</t>
  </si>
  <si>
    <t>복합 위험 사건·기준일·추적 기간 명세</t>
  </si>
  <si>
    <t>원리금 실제 연체/기한이익상실·지급거절·회생/채권은행 관리절차 신청·감사의견 변형/계속기업 불확실성을 유형별 기록한다. 상환과 무관한 관리종목/상장폐지는 제외한다. 유형별 심각도·사건/특징 역할·시점·비발생 판정은 원문 근거와 함께 합의한다.</t>
  </si>
  <si>
    <t>N-R16/N-R17/N-R18</t>
  </si>
  <si>
    <t>N-F13/N-F14</t>
  </si>
  <si>
    <t>N-U01</t>
  </si>
  <si>
    <t>기획안 v2.3 기준 발표 개정 초안</t>
  </si>
  <si>
    <t>상환·연체 위험 사건 목표, 4개 업종·렌탈 제외, 징후 판정 규칙·주석 추출·논리 화면 7개를 반영한다. 기존 발표자료와 화면설계서 원본은 보존한다.</t>
  </si>
  <si>
    <t>N-R01/N-R16/N-R38/N-R39/N-R40/N-R41/N-R42/N-R43</t>
  </si>
  <si>
    <t>N-U02</t>
  </si>
  <si>
    <t>1.3, 1.6, 1.7</t>
  </si>
  <si>
    <t>1차 범위 결정 기록</t>
  </si>
  <si>
    <t>4개 업종 매핑·분석 기간·산식·위험 사건/관측 창의 결정 여부를 정리한다. 미정 사항은 미정으로 유지한다.</t>
  </si>
  <si>
    <t>N-R01/N-R16/N-R17/N-R18/N-R32/N-R33</t>
  </si>
  <si>
    <t>변경/충돌·미정 질문 20개·범위 기록</t>
  </si>
  <si>
    <t>v2.0 계열 통합 기획안 v2.3을 기준으로 문서 범위·징후 규칙과 미정을 정리한다. 연결(CFS) 우선·미확보 시 별도(OFS) 전환은 v2.3과 최신 사용자 결정을 따른다. 화면설계서는 변경하지 않는다.</t>
  </si>
  <si>
    <t>N-R01/N-R16/N-R30/N-R31</t>
  </si>
  <si>
    <t>N-F27/N-F28/N-F29</t>
  </si>
  <si>
    <t>N-U02/N-U04/N-U06/N-U07/N-U08/N-U10/N-U11/N-U12/N-U13/N-U14/N-U15/N-U16/N-U17/N-U18/N-U20</t>
  </si>
  <si>
    <t>김동민·최수인</t>
  </si>
  <si>
    <t>6축 지표·경고/주의/관찰 초안·근거/미정표</t>
  </si>
  <si>
    <t>은행 자산건전성 분류(FLC)·신용위험 평가 관점의 6개 판단 축(상환재원, 유동성·만기, 재무구조, 우발·부외 부담, 외부 평가, 담보·회수 여력)에 공시 지표와 주석 근거를 연결한다. 업종별 핵심 지표(우선순위 5개)·보조 지표·그대로 쓰면 왜곡되는 지표를 정의한다. 공통: 영업이익률, 영업CF÷영업이익, 이자보상비율, 자본잠식. 제조: 현금전환주기, 재고·매출채권 증가율−매출증가율, 영업CF÷영업이익, CAPEX÷영업CF, 이자보상비율. 도소매: 매출총이익률 변화, 재고자산회전율, 매입채무 지급일수 변화, 현금전환주기, 리스부채 포함 부채비율. 건설: 계약자산 증가율−매출증가율, 공사미수금 회수기간, 공사원가율, PF 보증·조건부 의무÷자기자본과 1년 내 만기 PF 비중, 영업CF 대 유동부채. 부동산 임대: EBITDA 이자보상배율, 차입금÷투자부동산, 1년 내 만기 차입 비중, 현금보상비율, 평균 조달금리. 대상 업종은 기획안 v2.0의 4개 업종(제조·도소매·건설·부동산 임대)이며 장비·물품 렌탈은 범위에서 제외한다.</t>
  </si>
  <si>
    <t>N-R14/N-R24/N-R36/N-R38/N-R39</t>
  </si>
  <si>
    <t>N-F21/N-F34/N-F36/N-F37</t>
  </si>
  <si>
    <t>N-U06/N-U12/N-U17</t>
  </si>
  <si>
    <t>위험 사건별 이력·사건일·공시 원문</t>
  </si>
  <si>
    <t>주요사항보고서·감사보고서·기한이익상실 공시를 대조하고 유형·사건일·최초 공개일·접수번호를 보존한다. API 미조회만으로 비발생을 단정하지 않고 제공 기간·기업 범위·누락/실패를 기록한다.</t>
  </si>
  <si>
    <t>N-R17/N-R18</t>
  </si>
  <si>
    <t>수집 응답·공시 목록·캐시</t>
  </si>
  <si>
    <t>기업·업종·보고서·접수번호·공시일·수집일·원본·버전·정정 관계를 보존한다. 공개 당시 알 수 있는 데이터만 모델 시점에 연결하고 실패/캐시 정책은 별도 기록한다.</t>
  </si>
  <si>
    <t>N-R03/N-R27/N-R30</t>
  </si>
  <si>
    <t>N-F02/N-F24/N-F27</t>
  </si>
  <si>
    <t>계정 매핑·표준 데이터</t>
  </si>
  <si>
    <t>연결재무제표(CFS)를 우선 사용하고 없으면 별도재무제표(OFS)로 전환해 화면에 표시한다. 기간 비교 시 연결·별도, 통화·단위·보고 기간·누적/당분기 기준을 맞춘다. 회계 기준이 다른 값을 하나의 추세로 혼합하지 않는다. 정정공시 적용 여부·버전과 자료 미확보를 표시한다.</t>
  </si>
  <si>
    <t>N-R04/N-R05/N-R33</t>
  </si>
  <si>
    <t>N-F03/N-F31</t>
  </si>
  <si>
    <t>기업·공시시점별 학습 원자료</t>
  </si>
  <si>
    <t>기업·공시시점별 재무와 주석을 수집하고 원본 버전·회계 범위·공개일·관측 상태를 저장한다.</t>
  </si>
  <si>
    <t>N-R03/N-R18/N-R19</t>
  </si>
  <si>
    <t>N-F02/N-F14/N-F15</t>
  </si>
  <si>
    <t>N-U04</t>
  </si>
  <si>
    <t>관련 주석 원문 표본</t>
  </si>
  <si>
    <t>공통/업종별 주석 구간의 표·본문·교차참조·중복과 원문 위치를 기록한다. 장비·물품 렌탈은 제외한다.</t>
  </si>
  <si>
    <t>N-R11/N-R41/N-R42/N-R43</t>
  </si>
  <si>
    <t>N-F09/N-F39/N-F40/N-F41</t>
  </si>
  <si>
    <t>N-U04/N-U18</t>
  </si>
  <si>
    <t>2.7, 2.8</t>
  </si>
  <si>
    <t>모델 학습·평가 표본 명세</t>
  </si>
  <si>
    <t>공개 기준일 이후 12개월의 위험 사건·비발생·추적 미완료를 구분한다. 충분한 추적 종료 전에는 정상 라벨을 부여하지 않고 사건 발생 시점과 입력 시점을 보존한다.</t>
  </si>
  <si>
    <t>N-R16/N-R18</t>
  </si>
  <si>
    <t>N-F14</t>
  </si>
  <si>
    <t>1.9, 2.1</t>
  </si>
  <si>
    <t>원문 구간·교차참조·구조화/검출 상태 저장 구조</t>
  </si>
  <si>
    <t>보고서/구간·접수번호·공개일·버전·현재/전기·방향·한도/잔액·검수·검출/공시상 없음/미검출/추출 실패를 분리한다. 공시상 없음은 명시 원문이 있어야 하며 금액 미기재/실패를 0으로 바꾸지 않는다.</t>
  </si>
  <si>
    <t>N-R03/N-R12/N-R27/N-R41/N-R42/N-R43</t>
  </si>
  <si>
    <t>N-F02/N-F10/N-F24/N-F39/N-F40/N-F41</t>
  </si>
  <si>
    <t>N-U04/N-U08/N-U18</t>
  </si>
  <si>
    <t>2.1, 2.2</t>
  </si>
  <si>
    <t>품질 점검 결과</t>
  </si>
  <si>
    <t>자산·부채·자본 합계, 부호·통화·단위·계정 매핑·결측/0을 처리한다. 원문과 계산값의 연결 및 자료 미확보 상태를 기록한다.</t>
  </si>
  <si>
    <t>N-R05</t>
  </si>
  <si>
    <t>N-F03</t>
  </si>
  <si>
    <t>비교 기업·기간·표본 수</t>
  </si>
  <si>
    <t>동일 업종·기간·회계 기준의 비교 기업·분포·표본 수를 표시한다. 표본 부족은 비교 불가로 표시하며 한국은행 평균의 업종 수준·연도·모집단 차이는 N-U16 결정 후 적용한다.</t>
  </si>
  <si>
    <t>N-R10/N-R40</t>
  </si>
  <si>
    <t>N-F08/N-F38</t>
  </si>
  <si>
    <t>N-U06/N-U16/N-U20</t>
  </si>
  <si>
    <t>검색·업종 선택 화면</t>
  </si>
  <si>
    <t>기업 식별·DART 업종코드·서비스 업종·세부분류·적용 기준·보고 기간·연결/별도·결산월을 표시한다. 수동 업종 변경과 근거는 3.12에 연결한다.</t>
  </si>
  <si>
    <t>N-R01/N-R02/N-R32</t>
  </si>
  <si>
    <t>계산 로직·검산 결과</t>
  </si>
  <si>
    <t>영업이익 변동 금액·기여도·잔차와 0/음수 분모·적자 전환·결측을 검산한다. 숫자 분해를 인과관계로 단정하지 않는다.</t>
  </si>
  <si>
    <t>N-R08/N-R09</t>
  </si>
  <si>
    <t>N-F06/N-F07</t>
  </si>
  <si>
    <t>오준탁·김동민</t>
  </si>
  <si>
    <t>1.9, 3.2</t>
  </si>
  <si>
    <t>DART 매핑·복합 판정·수동 변경 기록</t>
  </si>
  <si>
    <t>기업/업종/세부분류와 건설/부동산 임대 적용 기준을 표시한다. 복합 판정 매출 비중·권한/저장은 N-U15 합의 후 적용하고 담당자 변경 사유·근거를 보존해 변경 업종 기준으로 다시 분석한다.</t>
  </si>
  <si>
    <t>3.2, 1.6</t>
  </si>
  <si>
    <t>영업이익·변동·현금흐름 화면</t>
  </si>
  <si>
    <t>영업이익 우선 배치·업종별 감가상각 강조·차입/상환능력·운전자본·기간/회계 범위/원문을 표시한다. 신규 업종 패널은 기존 N-S04에 붙이고 화면을 별도 신설하지 않는다.</t>
  </si>
  <si>
    <t>N-R07/N-R09/N-R27/N-R33/N-R34/N-R35/N-R38/N-R40</t>
  </si>
  <si>
    <t>N-F05/N-F07/N-F24/N-F32/N-F33/N-F36/N-F38</t>
  </si>
  <si>
    <t>N-U20</t>
  </si>
  <si>
    <t>서종원·오준탁</t>
  </si>
  <si>
    <t>1.6, 2.4</t>
  </si>
  <si>
    <t>차입/상환·CCC·운전자본 계산·검산 기록</t>
  </si>
  <si>
    <t>차입금/EBITDA/이자보상과 업종별 회전율·일수·현금전환주기를 산출한다.</t>
  </si>
  <si>
    <t>N-R07/N-R09/N-R33/N-R34/N-R35</t>
  </si>
  <si>
    <t>N-F05/N-F07/N-F31/N-F32/N-F33</t>
  </si>
  <si>
    <t>확인 기록·메모 초안</t>
  </si>
  <si>
    <t>규칙 징후 단계·모델 확률·담당자 확인 상태를 별도로 저장/표시한다. 미확인 모음과 근거/수치 복사·수정 및 내부 추가 확인 안내를 제공한다.</t>
  </si>
  <si>
    <t>N-R14/N-R24/N-R25/N-R26/N-R27/N-R39/N-R43</t>
  </si>
  <si>
    <t>N-F21/N-F22/N-F23/N-F24/N-F37/N-F41</t>
  </si>
  <si>
    <t>N-U08/N-U17</t>
  </si>
  <si>
    <t>업종별 점검 기준</t>
  </si>
  <si>
    <t>6개 판단 관점·업종별 핵심 지표와 원문 근거를 연결하고 v2.3 징후 기준을 검토한다. 수치는 팀 가설이며 공식 은행 기준을 대신하지 않는다.</t>
  </si>
  <si>
    <t>오준탁·서종원</t>
  </si>
  <si>
    <t>1.10, 3.8</t>
  </si>
  <si>
    <t>업종별 지표·규칙 버전·단계/판정 근거</t>
  </si>
  <si>
    <t>경고: 감사의견 비적정·계속기업 관련 중요한 불확실성, 자기자본≤0, 어음·수표 지급거절·회생절차 개시신청 공시, 기한이익상실 사유 발생, 이자보상비율&lt;1배 직전 3년 연속. 주의: 0&lt;자기자본&lt;납입자본금, 당기 이자보상비율&lt;1배, 흑자인데 영업CF 2년 연속 음수, 1년 내 만기 차입금&gt;현금성자산+영업CF. 관찰: 업종 중앙값 대비 열위·전기 대비 악화 추세. · 판정 순서: ① 공시 원문에 사건으로 기재되면 경고, ② 이자보상비율 1배 미만이 직전 3년 연속이면 경고, ③ 업종과 무관한 절대 경계(1배·0·납입자본금·상환재원)를 당기에 넘으면 주의, ④ 업종 중앙값·전기 대비 상대적으로 열위·악화하면 관찰로 표시한다. 위에서부터 처음 해당하는 단계로 확정한다. · 데이터 상태: 근사·추정 값은 단계를 유지하고 ‘근사’ 표시만 붙인다. 미확보·미검출 항목은 단계를 판정하지 않으며 ‘없음’으로 처리하지 않는다. · 중복 방지: 같은 원인에서 생긴 신호(예: 영업손실로 인한 이자보상비율 1배 미만)는 1건으로 표시하고 근거에 관련 지표를 함께 적는다. 사건으로 판정된 경고는 금액·업종 특성과 무관하게 단계를 낮추지 않는다. · 제외 항목: 신용등급 하향·부정적 전망, 제공 보증·조건부 의무의 자기자본 대비 급증은 판정 기준의 근거가 확인될 때까지 단계 기준에서 제외한다. 경고는 패널 최상단·원문 확인 필수, 주의는 확인 목록·근거 연결, 관찰은 추세·업종 위치로 표시한다. 수치는 현직자 확인 전 팀 가설이며 은행 등급·여신 판단을 대신하지 않는다.</t>
  </si>
  <si>
    <t>2.4, 3.3</t>
  </si>
  <si>
    <t>수기 입력·출처/시점 표시·확인 결과</t>
  </si>
  <si>
    <t>직접 입력의 원문/입력자/시점과 공시 수집 값을 구분하고 필수 입력·단위·누락/0·재계산을 확인한다. 내부 은행 자료를 수집하거나 임의 입력을 공식 원문으로 표시하지 않는다.</t>
  </si>
  <si>
    <t>N-R06/N-R27</t>
  </si>
  <si>
    <t>N-F04/N-F24</t>
  </si>
  <si>
    <t>김동민·오준탁</t>
  </si>
  <si>
    <t>3.9, 2.11</t>
  </si>
  <si>
    <t>N-S04 위험 패널·업종 차트·원문 연결</t>
  </si>
  <si>
    <t>주석 확인 사항 단계에 패널을 둔다. 상단: 징후 요약 카드(단계별 건수, 색과 텍스트 병기), 핵심 지표 타일(당기·전기 대비·업종 중앙값), 5개년 스파크라인, 업종 내 위치 점 플롯(표본 부족 시 '비교 보류'). 업종별 차트: 제조(현금전환주기 분해 누적 막대, 매출·재고·매출채권 증가율 막대, 영업이익·영업CF·CAPEX 막대), 도소매(매출총이익률 라인, 매입채무·재고일수 라인, 리스 포함/제외 부채비율), 건설(PF 보증 만기 사다리, 계약자산 vs 매출 증가율, 우발채무÷자기자본 불릿, 원가율 추세), 부동산·임대(차입금 만기 사다리+금리, EBITDA 이자보상배율 1.0배 기준선, LTV 불릿, 임대율). 주석 근거 카드·보증 제공/수취 분리 표·만기 타임라인을 연결한다. 게이지·레이더는 쓰지 않고 결측은 '자료 없음' 회색으로 표시한다.</t>
  </si>
  <si>
    <t>N-R11/N-R27/N-R38/N-R39/N-R40/N-R43</t>
  </si>
  <si>
    <t>N-F24/N-F36/N-F37/N-F38/N-F41</t>
  </si>
  <si>
    <t>N-U17/N-U20</t>
  </si>
  <si>
    <t>2.6, 3.1</t>
  </si>
  <si>
    <t>분석 결과와 적용 범위</t>
  </si>
  <si>
    <t>현금흐름과 이익 차이·차입/운전자본·기존 3개년 추세와 비교 분포·표본 한계를 설명한다. 패널 5개년 추세는 별도 시각화 기준으로 구분한다.</t>
  </si>
  <si>
    <t>N-R09/N-R10/N-R34/N-R35/N-R40</t>
  </si>
  <si>
    <t>N-F07/N-F08/N-F32/N-F33/N-F38</t>
  </si>
  <si>
    <t>3.4, 3.6</t>
  </si>
  <si>
    <t>통합 대시보드</t>
  </si>
  <si>
    <t>계산·확인 항목·원문·담당자 메모를 연결한다. 규칙 단계·미래 확률·사용자 체크를 구분한다.</t>
  </si>
  <si>
    <t>N-R07/N-R14/N-R24/N-R25/N-R26/N-R27/N-R40</t>
  </si>
  <si>
    <t>N-F05/N-F21/N-F22/N-F23/N-F24/N-F38</t>
  </si>
  <si>
    <t>서종원·김동민</t>
  </si>
  <si>
    <t>3.5, 3.7, 2.4, 3.10, 3.11, 3.12</t>
  </si>
  <si>
    <t>핵심 기능 확인 기록</t>
  </si>
  <si>
    <t>정량 분석·직접 입력·업종 변경·위험 패널·차트의 제공 범위와 버전을 정리한다. 후보 임계값·미정·제공 보류를 화면에 표시한다.</t>
  </si>
  <si>
    <t>N-R06/N-R07/N-R32/N-R38/N-R39/N-R40</t>
  </si>
  <si>
    <t>N-F04/N-F05/N-F30/N-F36/N-F37/N-F38</t>
  </si>
  <si>
    <t>추출 필드·요약 형식</t>
  </si>
  <si>
    <t>공통 6범주/업종 추가 사전과 유형·방향·금액·통화·상태·기준일·원문 위치·검출 상태·검수 기록을 정의한다. 표/본문 중복·현재/전기·한도/잔액을 구분하고 코드는 N-U04/N-U18 합의 후 고정한다.</t>
  </si>
  <si>
    <t>N-R11/N-R12/N-R13/N-R14/N-R41/N-R42/N-R43</t>
  </si>
  <si>
    <t>N-F09/N-F10/N-F11/N-F39/N-F40/N-F41</t>
  </si>
  <si>
    <t>N-U04/N-U07/N-U18</t>
  </si>
  <si>
    <t>주석 추출·요약 결과</t>
  </si>
  <si>
    <t>공통/업종 규칙으로 얻은 구조화 주석을 근거 요약과 모델 입력에 공통 재사용한다. 일반 담보·대출약정을 자동으로 우발부채로 판정하지 않고, 검출 상태·금액 미기재를 0/정상으로 바꾸지 않는다.</t>
  </si>
  <si>
    <t>N-R11/N-R12/N-R13/N-R19/N-R41/N-R42/N-R43</t>
  </si>
  <si>
    <t>N-F09/N-F10/N-F11/N-F15/N-F39/N-F40/N-F41</t>
  </si>
  <si>
    <t>4.1, 2.11</t>
  </si>
  <si>
    <t>공통 검색어·추출 범위·저장 필드/버전</t>
  </si>
  <si>
    <t>감사의견/계속기업·차입 만기/재무약정·신용등급·담보 제공·소송/제재·부외거래/후속사건 6항목을 추출한다. 제목부터 다음 주석 번호/소제목 전까지 저장하고 다른 장 참조는 해당 위치를 다시 추출한다. 보증 제공/수취·원고/피고·현재/전기·한도/잔액·표/본문 중복과 교차참조를 구분한다. 일반 담보/대출을 자동 우발부채로 단정하지 않는다.</t>
  </si>
  <si>
    <t>N-R03/N-R11/N-R41/N-R43</t>
  </si>
  <si>
    <t>N-F02/N-F09/N-F39/N-F41</t>
  </si>
  <si>
    <t>없음</t>
  </si>
  <si>
    <t>뉴스 후보와 수집 조건</t>
  </si>
  <si>
    <t>기업·기간 식별과 매체 활용 조건 확인</t>
  </si>
  <si>
    <t>N-R15</t>
  </si>
  <si>
    <t>N-F12</t>
  </si>
  <si>
    <t>N-U07</t>
  </si>
  <si>
    <t>김동민·오준탁·최수인</t>
  </si>
  <si>
    <t>업종별 사전·추출 필드·원문 근거</t>
  </si>
  <si>
    <t>제조 재고/손상/개발비/공급자금융, 도소매 리스/매입처/점포, 건설 PF/계약자산/공사원가/분양, 임대 차입/투자부동산/임대율/보증금 규칙을 연결한다. 금액·한도·잔액·만기와 표 중복을 구분한다.</t>
  </si>
  <si>
    <t>N-R11/N-R42/N-R43</t>
  </si>
  <si>
    <t>N-F09/N-F40/N-F41</t>
  </si>
  <si>
    <t>N-U18</t>
  </si>
  <si>
    <t>근거 연결과 대안 화면</t>
  </si>
  <si>
    <t>주석 요약·원문·기준일·검출 상태와 추가 확인 안내를 연결한다. 미검출은 부재로 표시하지 않으며 추출 실패와 공시상 명시적 없음을 구분한다.</t>
  </si>
  <si>
    <t>N-R13/N-R14/N-R27/N-R43</t>
  </si>
  <si>
    <t>N-F11/N-F24/N-F41</t>
  </si>
  <si>
    <t>N-U04/N-U08</t>
  </si>
  <si>
    <t>김동혁·최수인</t>
  </si>
  <si>
    <t>뉴스 요약·출처·링크 화면</t>
  </si>
  <si>
    <t>관련성·시점·중복·중요 기사 누락 점검 결과 반영. 품질 부족 시 원문 링크로 제공</t>
  </si>
  <si>
    <t>N-R15/N-R27</t>
  </si>
  <si>
    <t>N-F12/N-F24</t>
  </si>
  <si>
    <t>오준탁·최수인</t>
  </si>
  <si>
    <t>주석 확인·제공 형식 기록</t>
  </si>
  <si>
    <t>공통/업종 추출·원문·검출 상태·추가 확인 안내의 제공 형식을 정리한다. 실패를 공시상 없음으로 표시하지 않는다.</t>
  </si>
  <si>
    <t>N-R11/N-R12/N-R13/N-R41/N-R42/N-R43</t>
  </si>
  <si>
    <t>4.2, 2.9, 4.9</t>
  </si>
  <si>
    <t>주석 변수 사전·특징 데이터</t>
  </si>
  <si>
    <t>금액/총자산·유형·소송/보증 방향·담보·한도/잔액·변화·결측/검출 상태를 특징 후보로 구성한다. 원문·검수·공개시점·낮은 확보율 변수 제외 근거를 기록하고 뉴스/LLM 임의 확률은 초기 입력에서 제외한다.</t>
  </si>
  <si>
    <t>N-R19/N-R33/N-R34/N-R35/N-R41/N-R42/N-R43</t>
  </si>
  <si>
    <t>N-F15/N-F31/N-F32/N-F33/N-F39/N-F40/N-F41</t>
  </si>
  <si>
    <t>결합 모델·재현 가능한 학습 코드</t>
  </si>
  <si>
    <t>재무·주석 특징을 결합해 기준 공시일 이후 12개월 위험 사건 확률을 추정하는 모델을 개발한다. 뉴스와 LLM 임의 확률은 초기 입력에서 제외한다. 모델 버전·제공 가능 상태를 구분하며 준비되지 않으면 제공을 보류한다.</t>
  </si>
  <si>
    <t>N-R16/N-R19</t>
  </si>
  <si>
    <t>N-F18</t>
  </si>
  <si>
    <t>N-U04/N-U05</t>
  </si>
  <si>
    <t>예측 API·확률·근거 화면</t>
  </si>
  <si>
    <t>12개월 위험 사건 확률·기준일·모델 버전·입력 지표·주석 원문·확인/보류 상태를 표시한다. 규칙 단계와 다른 결과로 표시하고 학습/확인 전 임의 확률을 실제 결과로 제시하지 않는다.</t>
  </si>
  <si>
    <t>N-R16/N-R23/N-R27/N-R39</t>
  </si>
  <si>
    <t>N-F20/N-F24/N-F37</t>
  </si>
  <si>
    <t>N-U08/N-U17/N-U05</t>
  </si>
  <si>
    <t>7.6, 3.4, 4.6</t>
  </si>
  <si>
    <t>예측 근거 포함 기록 초안</t>
  </si>
  <si>
    <t>수치·주석·규칙 단계·예측 확률·원문·추가 내부 확인을 구분하여 복사/수정한다. 예측 설명을 인과관계나 자동 승인/거절/내부 등급 결정으로 표현하지 않는다.</t>
  </si>
  <si>
    <t>N-R14/N-R23/N-R24/N-R26/N-R27/N-R39/N-R43</t>
  </si>
  <si>
    <t>N-F20/N-F21/N-F23/N-F24/N-F37/N-F41</t>
  </si>
  <si>
    <t>김동민·서종원·최수인</t>
  </si>
  <si>
    <t>확인 모델·연동 기준 버전</t>
  </si>
  <si>
    <t>모델 버전·입력 기준일·원문/메모 연동·결과 표시/보류 조건을 정리한다. 미정 조건은 미정으로 유지한다.</t>
  </si>
  <si>
    <t>N-R16/N-R23</t>
  </si>
  <si>
    <t>N-F18/N-F20</t>
  </si>
  <si>
    <t>N-U05</t>
  </si>
  <si>
    <t>3.M2, 4.M3, 7.6</t>
  </si>
  <si>
    <t>시연 주소와 운영 점검</t>
  </si>
  <si>
    <t>API 키 비노출·접근 제어·요청 제한·캐시·재시도·오류/확인 전 상태를 확인한다. 은행 내부자료를 수집하지 않으며 실제 배포/접속 확인과 배포 계획을 구분한다.</t>
  </si>
  <si>
    <t>N-R14/N-R27/N-R30</t>
  </si>
  <si>
    <t>N-F24/N-F27</t>
  </si>
  <si>
    <t>N-U07/N-U08</t>
  </si>
  <si>
    <t>김동혁·김동민</t>
  </si>
  <si>
    <t>수정 내역·재확인 결과</t>
  </si>
  <si>
    <t>재무 계산·주석 추출·검출 상태·위험 단계·모델 결과·화면의 오류를 수정하고 영향 범위와 미해결 사항을 기록한다.</t>
  </si>
  <si>
    <t>N-R05/N-R38/N-R39/N-R40/N-R41/N-R42/N-R43</t>
  </si>
  <si>
    <t>N-F03/N-F36/N-F37/N-F38/N-F39/N-F40/N-F41</t>
  </si>
  <si>
    <t>시연 기준 버전</t>
  </si>
  <si>
    <t>발표에 포함할 실제 제공 기능·보류 기능·미정 사항과 문서 버전을 정리한다.</t>
  </si>
  <si>
    <t>N-R30</t>
  </si>
  <si>
    <t>N-F27</t>
  </si>
  <si>
    <t>README·항목·출처 문서</t>
  </si>
  <si>
    <t>재무·주석·위험 사건 정의, 지표/산식·추출 사전·검출 상태·의존성·실행 절차·모델 버전을 기록한다. 계획과 실제 제공 상태를 구분한다.</t>
  </si>
  <si>
    <t>N-R03/N-R27/N-R30/N-R31/N-R38/N-R39/N-R41/N-R42/N-R43</t>
  </si>
  <si>
    <t>N-F02/N-F24/N-F27/N-F28/N-F29/N-F36/N-F37/N-F39/N-F40/N-F41</t>
  </si>
  <si>
    <t>N-U08/N-U10/N-U18</t>
  </si>
  <si>
    <t>최종 발표 PPT와 대본</t>
  </si>
  <si>
    <t>현업 문제·인터뷰·4개 업종·CFS 우선·OFS 전환·위험 패널·원문 시연·12개월 예측의 제공 상태와 한계를 반영한다. 기대효과를 실증 성과로 단정하지 않는다.</t>
  </si>
  <si>
    <t>N-R01/N-R14/N-R16/N-R31/N-R38/N-R39/N-R40</t>
  </si>
  <si>
    <t>N-F20/N-F28/N-F29/N-F36/N-F37/N-F38</t>
  </si>
  <si>
    <t>N-U02/N-U10/N-U17</t>
  </si>
  <si>
    <t>6.2, 5.1</t>
  </si>
  <si>
    <t>시연 영상·예비 자료</t>
  </si>
  <si>
    <t>기업 검색→재무/변동→공통/업종 주석·검출 상태→규칙 위험 패널→예측 확률/근거→체크/메모 시연과 통신 실패 대안을 확인한다.</t>
  </si>
  <si>
    <t>N-R07/N-R11/N-R14/N-R23/N-R25/N-R26/N-R27/N-R30/N-R39/N-R40/N-R43</t>
  </si>
  <si>
    <t>N-F05/N-F10/N-F11/N-F20/N-F22/N-F23/N-F24/N-F27/N-F37/N-F38/N-F41</t>
  </si>
  <si>
    <t>6.1, 5.5</t>
  </si>
  <si>
    <t>제출 묶음과 점검표</t>
  </si>
  <si>
    <t>최신 기획안·PRD·요구사항·기능명세·WBS·소스·실행 안내·PPT/영상을 제출 목록과 대조한다. 파일 존재와 실행 완료를 구분한다.</t>
  </si>
  <si>
    <t>N-U08/N-U09</t>
  </si>
  <si>
    <t>리허설 기록·예상 질문</t>
  </si>
  <si>
    <t>5~10분 발표와 역할·질의응답 확인</t>
  </si>
  <si>
    <t>N-U09</t>
  </si>
  <si>
    <t>6.3, 6.4, 6.5</t>
  </si>
  <si>
    <t>제출 접수 확인</t>
  </si>
  <si>
    <t>기획안의 11/05 09:00 제출 계획과 실제 교육 마감을 대조하고 실제 제출 후 접수 확인을 남긴다. 제출 예정과 완료를 구분한다.</t>
  </si>
  <si>
    <t>발표·질의응답 기록</t>
  </si>
  <si>
    <t>최종 시연·실제 제공 상태·자료 범위·가설/미정·확장 계획을 설명하고 질의응답을 기록한다.</t>
  </si>
  <si>
    <t>N-R30/N-R31</t>
  </si>
  <si>
    <t>N-U10/N-U09</t>
  </si>
  <si>
    <t>내용</t>
  </si>
  <si>
    <t>개정자</t>
  </si>
  <si>
    <t>2026.10.24</t>
  </si>
  <si>
    <t>이전 기준 반영</t>
  </si>
  <si>
    <t>2026.10.27</t>
  </si>
  <si>
    <t>상태·근거 변경</t>
  </si>
  <si>
    <t>v1.3</t>
  </si>
  <si>
    <t>2026.10.28</t>
  </si>
  <si>
    <t>v2.1 연계·내부 관리 분리·날짜 수식 보정</t>
  </si>
  <si>
    <t>2026.10.29</t>
  </si>
  <si>
    <t>사유</t>
  </si>
  <si>
    <t>7.1</t>
  </si>
  <si>
    <t>v2.3 현행 범위에서 제외. 이전 버전과 Notion 행은 이력으로 보존하며 ID 재사용 금지.</t>
  </si>
  <si>
    <t>3.13</t>
  </si>
  <si>
    <t>LoanSight AI WBS v1.4</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</si>
</sst>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yyyy\-mm\-dd"/>
    <numFmt numFmtId="177" formatCode="m/d/yyyy"/>
    <numFmt numFmtId="178" formatCode="d"/>
    <numFmt numFmtId="179" formatCode=";;;"/>
  </numFmts>
  <fonts count="18">
    <font>
      <sz val="11"/>
      <name val="Calibri"/>
    </font>
    <font>
      <sz val="11"/>
      <name val="Calibri"/>
      <family val="2"/>
    </font>
    <font>
      <sz val="8"/>
      <name val="돋움"/>
      <family val="3"/>
      <charset val="129"/>
    </font>
    <font>
      <sz val="11"/>
      <color rgb="FF202B36"/>
      <name val="맑은 고딕"/>
      <family val="3"/>
      <charset val="129"/>
    </font>
    <font>
      <b/>
      <sz val="17"/>
      <color rgb="FF202B36"/>
      <name val="맑은 고딕"/>
      <family val="3"/>
      <charset val="129"/>
    </font>
    <font>
      <b/>
      <sz val="10"/>
      <color rgb="FFFFFFFF"/>
      <name val="맑은 고딕"/>
      <family val="3"/>
      <charset val="129"/>
    </font>
    <font>
      <sz val="10"/>
      <color rgb="FF1F2937"/>
      <name val="맑은 고딕"/>
      <family val="3"/>
      <charset val="129"/>
    </font>
    <font>
      <b/>
      <sz val="17"/>
      <color rgb="FF233D55"/>
      <name val="맑은 고딕"/>
      <family val="3"/>
      <charset val="129"/>
    </font>
    <font>
      <b/>
      <sz val="11"/>
      <color rgb="FF202B36"/>
      <name val="맑은 고딕"/>
      <family val="3"/>
      <charset val="129"/>
    </font>
    <font>
      <b/>
      <sz val="11"/>
      <color rgb="FFFFFFFF"/>
      <name val="맑은 고딕"/>
      <family val="3"/>
      <charset val="129"/>
    </font>
    <font>
      <sz val="11"/>
      <color rgb="FF374151"/>
      <name val="맑은 고딕"/>
      <family val="3"/>
      <charset val="129"/>
    </font>
    <font>
      <sz val="10"/>
      <color rgb="FF647380"/>
      <name val="맑은 고딕"/>
      <family val="3"/>
      <charset val="129"/>
    </font>
    <font>
      <sz val="11"/>
      <color rgb="FF647380"/>
      <name val="맑은 고딕"/>
      <family val="3"/>
      <charset val="129"/>
    </font>
    <font>
      <sz val="10"/>
      <color rgb="FF202B36"/>
      <name val="맑은 고딕"/>
      <family val="3"/>
      <charset val="129"/>
    </font>
    <font>
      <b/>
      <sz val="10"/>
      <color rgb="FF647380"/>
      <name val="맑은 고딕"/>
      <family val="3"/>
      <charset val="129"/>
    </font>
    <font>
      <sz val="11"/>
      <name val="맑은 고딕"/>
      <family val="3"/>
      <charset val="129"/>
    </font>
    <font>
      <sz val="11"/>
      <color rgb="FF1F2937"/>
      <name val="맑은 고딕"/>
      <family val="3"/>
      <charset val="129"/>
    </font>
    <font>
      <b/>
      <sz val="18"/>
      <color rgb="FF202B36"/>
      <name val="맑은 고딕"/>
      <family val="3"/>
      <charset val="129"/>
    </font>
  </fonts>
  <fills count="8">
    <fill>
      <patternFill patternType="none"/>
    </fill>
    <fill>
      <patternFill patternType="gray125"/>
    </fill>
    <fill>
      <patternFill patternType="solid">
        <fgColor rgb="FF234154"/>
      </patternFill>
    </fill>
    <fill>
      <patternFill patternType="solid">
        <fgColor rgb="FFF5F7FA"/>
      </patternFill>
    </fill>
    <fill>
      <patternFill patternType="solid">
        <fgColor rgb="FF233D55"/>
      </patternFill>
    </fill>
    <fill>
      <patternFill patternType="solid">
        <fgColor rgb="FFFFFAED"/>
      </patternFill>
    </fill>
    <fill>
      <patternFill patternType="solid">
        <fgColor rgb="FF53616D"/>
      </patternFill>
    </fill>
    <fill>
      <patternFill patternType="solid">
        <fgColor rgb="FFEDF0F3"/>
      </patternFill>
    </fill>
  </fills>
  <borders count="6">
    <border>
      <left/>
      <right/>
      <top/>
      <bottom/>
      <diagonal/>
    </border>
    <border>
      <left/>
      <right/>
      <top/>
      <bottom style="thin">
        <color rgb="FFDCE3E9"/>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
      <left/>
      <right/>
      <top style="thin">
        <color rgb="FFB9C8D4"/>
      </top>
      <bottom/>
      <diagonal/>
    </border>
  </borders>
  <cellStyleXfs count="2">
    <xf numFmtId="0" fontId="0" fillId="0" borderId="0"/>
    <xf numFmtId="0" fontId="1" fillId="0" borderId="0"/>
  </cellStyleXfs>
  <cellXfs count="61">
    <xf numFmtId="0" fontId="0" fillId="0" borderId="0" xfId="0"/>
    <xf numFmtId="0" fontId="3" fillId="0" borderId="0" xfId="1" applyFont="1" applyAlignment="1">
      <alignment vertical="center" wrapText="1"/>
    </xf>
    <xf numFmtId="0" fontId="4" fillId="0" borderId="0" xfId="1" applyFont="1" applyAlignment="1">
      <alignment vertical="center" wrapText="1"/>
    </xf>
    <xf numFmtId="0" fontId="3" fillId="0" borderId="1" xfId="1" applyFont="1" applyBorder="1" applyAlignment="1">
      <alignment vertical="center" wrapText="1"/>
    </xf>
    <xf numFmtId="0" fontId="5" fillId="2" borderId="0" xfId="0" applyFont="1" applyFill="1" applyAlignment="1">
      <alignment vertical="center" wrapText="1"/>
    </xf>
    <xf numFmtId="0" fontId="6" fillId="0" borderId="0" xfId="0" applyFont="1" applyAlignment="1">
      <alignment vertical="center" wrapText="1"/>
    </xf>
    <xf numFmtId="14" fontId="6" fillId="0" borderId="0" xfId="0" applyNumberFormat="1" applyFont="1" applyAlignment="1">
      <alignment vertical="center" wrapText="1"/>
    </xf>
    <xf numFmtId="0" fontId="3" fillId="3" borderId="0" xfId="1" applyFont="1" applyFill="1" applyAlignment="1">
      <alignment horizontal="center" vertical="center" wrapText="1"/>
    </xf>
    <xf numFmtId="0" fontId="7" fillId="3" borderId="0" xfId="1" applyFont="1" applyFill="1" applyAlignment="1">
      <alignment horizontal="center" vertical="center" wrapText="1"/>
    </xf>
    <xf numFmtId="0" fontId="8" fillId="0" borderId="0" xfId="1" applyFont="1" applyAlignment="1">
      <alignment vertical="center" wrapText="1"/>
    </xf>
    <xf numFmtId="0" fontId="9" fillId="4" borderId="2" xfId="1" applyFont="1" applyFill="1" applyBorder="1" applyAlignment="1">
      <alignment horizontal="center" vertical="center" wrapText="1"/>
    </xf>
    <xf numFmtId="0" fontId="9" fillId="4" borderId="3" xfId="1" applyFont="1" applyFill="1" applyBorder="1" applyAlignment="1">
      <alignment horizontal="center" vertical="center" wrapText="1"/>
    </xf>
    <xf numFmtId="0" fontId="9" fillId="4" borderId="4" xfId="1" applyFont="1" applyFill="1" applyBorder="1" applyAlignment="1">
      <alignment horizontal="center" vertical="center" wrapText="1"/>
    </xf>
    <xf numFmtId="0" fontId="3" fillId="0" borderId="0" xfId="1" applyFont="1" applyAlignment="1">
      <alignment horizontal="center" vertical="center" wrapText="1"/>
    </xf>
    <xf numFmtId="14" fontId="3" fillId="0" borderId="0" xfId="0" applyNumberFormat="1" applyFont="1" applyAlignment="1">
      <alignment horizontal="center" vertical="center" wrapText="1"/>
    </xf>
    <xf numFmtId="0" fontId="3" fillId="3" borderId="0" xfId="1" applyFont="1" applyFill="1" applyAlignment="1">
      <alignment vertical="center" wrapText="1"/>
    </xf>
    <xf numFmtId="14" fontId="3" fillId="3" borderId="0" xfId="0" applyNumberFormat="1" applyFont="1" applyFill="1" applyAlignment="1">
      <alignment horizontal="center" vertical="center" wrapText="1"/>
    </xf>
    <xf numFmtId="177" fontId="3" fillId="0" borderId="0" xfId="1" applyNumberFormat="1" applyFont="1" applyAlignment="1">
      <alignment horizontal="center" vertical="center" wrapText="1"/>
    </xf>
    <xf numFmtId="177" fontId="3" fillId="3" borderId="0" xfId="1" applyNumberFormat="1" applyFont="1" applyFill="1" applyAlignment="1">
      <alignment horizontal="center" vertical="center" wrapText="1"/>
    </xf>
    <xf numFmtId="0" fontId="11" fillId="0" borderId="0" xfId="1" applyFont="1" applyAlignment="1">
      <alignment vertical="center" wrapText="1"/>
    </xf>
    <xf numFmtId="49" fontId="6" fillId="0" borderId="5" xfId="0" applyNumberFormat="1" applyFont="1" applyBorder="1" applyAlignment="1">
      <alignment vertical="center" wrapText="1"/>
    </xf>
    <xf numFmtId="0" fontId="6" fillId="0" borderId="5" xfId="0" applyFont="1" applyBorder="1" applyAlignment="1">
      <alignment vertical="center" wrapText="1"/>
    </xf>
    <xf numFmtId="0" fontId="6" fillId="0" borderId="5" xfId="0" applyFont="1" applyBorder="1" applyAlignment="1">
      <alignment horizontal="center" vertical="center" wrapText="1"/>
    </xf>
    <xf numFmtId="176" fontId="6" fillId="0" borderId="5" xfId="0" applyNumberFormat="1" applyFont="1" applyBorder="1" applyAlignment="1">
      <alignment horizontal="center" vertical="center" wrapText="1"/>
    </xf>
    <xf numFmtId="0" fontId="6" fillId="5" borderId="5" xfId="0" applyFont="1" applyFill="1" applyBorder="1" applyAlignment="1">
      <alignment horizontal="center" vertical="center" wrapText="1"/>
    </xf>
    <xf numFmtId="9" fontId="6" fillId="5" borderId="5" xfId="0" applyNumberFormat="1" applyFont="1" applyFill="1" applyBorder="1" applyAlignment="1">
      <alignment horizontal="center" vertical="center" wrapText="1"/>
    </xf>
    <xf numFmtId="49" fontId="6" fillId="3" borderId="0" xfId="0" applyNumberFormat="1" applyFont="1" applyFill="1" applyAlignment="1">
      <alignment vertical="center" wrapText="1"/>
    </xf>
    <xf numFmtId="0" fontId="6" fillId="3" borderId="0" xfId="0" applyFont="1" applyFill="1" applyAlignment="1">
      <alignment vertical="center" wrapText="1"/>
    </xf>
    <xf numFmtId="0" fontId="6" fillId="3" borderId="0" xfId="0" applyFont="1" applyFill="1" applyAlignment="1">
      <alignment horizontal="center" vertical="center" wrapText="1"/>
    </xf>
    <xf numFmtId="176" fontId="6" fillId="3" borderId="0" xfId="0" applyNumberFormat="1" applyFont="1" applyFill="1" applyAlignment="1">
      <alignment horizontal="center" vertical="center" wrapText="1"/>
    </xf>
    <xf numFmtId="0" fontId="6" fillId="5" borderId="0" xfId="0" applyFont="1" applyFill="1" applyAlignment="1">
      <alignment horizontal="center" vertical="center" wrapText="1"/>
    </xf>
    <xf numFmtId="9" fontId="6" fillId="5" borderId="0" xfId="0" applyNumberFormat="1" applyFont="1" applyFill="1" applyAlignment="1">
      <alignment horizontal="center" vertical="center" wrapText="1"/>
    </xf>
    <xf numFmtId="49" fontId="6" fillId="0" borderId="0" xfId="0" applyNumberFormat="1" applyFont="1" applyAlignment="1">
      <alignment vertical="center" wrapText="1"/>
    </xf>
    <xf numFmtId="0" fontId="6" fillId="0" borderId="0" xfId="0" applyFont="1" applyAlignment="1">
      <alignment horizontal="center" vertical="center" wrapText="1"/>
    </xf>
    <xf numFmtId="176" fontId="6" fillId="0" borderId="0" xfId="0" applyNumberFormat="1" applyFont="1" applyAlignment="1">
      <alignment horizontal="center" vertical="center" wrapText="1"/>
    </xf>
    <xf numFmtId="49" fontId="6" fillId="3" borderId="5" xfId="0" applyNumberFormat="1" applyFont="1" applyFill="1" applyBorder="1" applyAlignment="1">
      <alignment vertical="center" wrapText="1"/>
    </xf>
    <xf numFmtId="0" fontId="6" fillId="3" borderId="5" xfId="0" applyFont="1" applyFill="1" applyBorder="1" applyAlignment="1">
      <alignment vertical="center" wrapText="1"/>
    </xf>
    <xf numFmtId="0" fontId="6" fillId="3" borderId="5" xfId="0" applyFont="1" applyFill="1" applyBorder="1" applyAlignment="1">
      <alignment horizontal="center" vertical="center" wrapText="1"/>
    </xf>
    <xf numFmtId="176" fontId="6" fillId="3" borderId="5" xfId="0" applyNumberFormat="1" applyFont="1" applyFill="1" applyBorder="1" applyAlignment="1">
      <alignment horizontal="center" vertical="center" wrapText="1"/>
    </xf>
    <xf numFmtId="49" fontId="3" fillId="3" borderId="0" xfId="1" applyNumberFormat="1" applyFont="1" applyFill="1" applyAlignment="1">
      <alignment vertical="center" wrapText="1"/>
    </xf>
    <xf numFmtId="0" fontId="12" fillId="3" borderId="0" xfId="1" applyFont="1" applyFill="1" applyAlignment="1">
      <alignment vertical="center" wrapText="1"/>
    </xf>
    <xf numFmtId="0" fontId="3" fillId="5" borderId="0" xfId="1" applyFont="1" applyFill="1" applyAlignment="1">
      <alignment horizontal="center" vertical="center" wrapText="1"/>
    </xf>
    <xf numFmtId="9" fontId="3" fillId="5" borderId="0" xfId="1" applyNumberFormat="1" applyFont="1" applyFill="1" applyAlignment="1">
      <alignment horizontal="center" vertical="center" wrapText="1"/>
    </xf>
    <xf numFmtId="0" fontId="13" fillId="3" borderId="0" xfId="1" applyFont="1" applyFill="1" applyAlignment="1">
      <alignment horizontal="center" vertical="center" wrapText="1"/>
    </xf>
    <xf numFmtId="0" fontId="14" fillId="0" borderId="0" xfId="1" applyFont="1" applyAlignment="1">
      <alignment vertical="center" wrapText="1"/>
    </xf>
    <xf numFmtId="178" fontId="9" fillId="4" borderId="3" xfId="1" applyNumberFormat="1" applyFont="1" applyFill="1" applyBorder="1" applyAlignment="1">
      <alignment horizontal="center" vertical="center" wrapText="1"/>
    </xf>
    <xf numFmtId="178" fontId="9" fillId="6" borderId="3" xfId="1" applyNumberFormat="1" applyFont="1" applyFill="1" applyBorder="1" applyAlignment="1">
      <alignment horizontal="center" vertical="center" wrapText="1"/>
    </xf>
    <xf numFmtId="178" fontId="9" fillId="4" borderId="4" xfId="1" applyNumberFormat="1" applyFont="1" applyFill="1" applyBorder="1" applyAlignment="1">
      <alignment horizontal="center" vertical="center" wrapText="1"/>
    </xf>
    <xf numFmtId="49" fontId="3" fillId="0" borderId="0" xfId="1" applyNumberFormat="1" applyFont="1" applyAlignment="1">
      <alignment vertical="center" wrapText="1"/>
    </xf>
    <xf numFmtId="179" fontId="3" fillId="0" borderId="0" xfId="1" applyNumberFormat="1" applyFont="1" applyAlignment="1">
      <alignment vertical="center" wrapText="1"/>
    </xf>
    <xf numFmtId="179" fontId="3" fillId="7" borderId="0" xfId="1" applyNumberFormat="1" applyFont="1" applyFill="1" applyAlignment="1">
      <alignment vertical="center" wrapText="1"/>
    </xf>
    <xf numFmtId="179" fontId="3" fillId="3" borderId="0" xfId="1" applyNumberFormat="1" applyFont="1" applyFill="1" applyAlignment="1">
      <alignment vertical="center" wrapText="1"/>
    </xf>
    <xf numFmtId="0" fontId="15" fillId="0" borderId="0" xfId="0" applyFont="1" applyAlignment="1">
      <alignment wrapText="1"/>
    </xf>
    <xf numFmtId="0" fontId="6" fillId="5" borderId="0" xfId="0" applyFont="1" applyFill="1" applyAlignment="1">
      <alignment vertical="center" wrapText="1"/>
    </xf>
    <xf numFmtId="49" fontId="16" fillId="3" borderId="0" xfId="1" applyNumberFormat="1" applyFont="1" applyFill="1" applyAlignment="1">
      <alignment vertical="center" wrapText="1"/>
    </xf>
    <xf numFmtId="0" fontId="16" fillId="3" borderId="0" xfId="1" applyFont="1" applyFill="1" applyAlignment="1">
      <alignment vertical="center" wrapText="1"/>
    </xf>
    <xf numFmtId="0" fontId="16" fillId="5" borderId="0" xfId="1" applyFont="1" applyFill="1" applyAlignment="1">
      <alignment vertical="center" wrapText="1"/>
    </xf>
    <xf numFmtId="0" fontId="16" fillId="0" borderId="0" xfId="1" applyFont="1" applyAlignment="1">
      <alignment vertical="center" wrapText="1"/>
    </xf>
    <xf numFmtId="0" fontId="10" fillId="0" borderId="0" xfId="1" applyFont="1" applyAlignment="1">
      <alignment vertical="center" wrapText="1"/>
    </xf>
    <xf numFmtId="0" fontId="8" fillId="0" borderId="0" xfId="1" applyFont="1" applyAlignment="1">
      <alignment vertical="center" wrapText="1"/>
    </xf>
    <xf numFmtId="0" fontId="17" fillId="0" borderId="0" xfId="1" applyFont="1" applyAlignment="1">
      <alignment vertical="center" wrapText="1"/>
    </xf>
  </cellXfs>
  <cellStyles count="2">
    <cellStyle name="Normal" xfId="1" xr:uid="{00000000-0005-0000-0000-000000000000}"/>
    <cellStyle name="표준" xfId="0" builtinId="0"/>
  </cellStyles>
  <dxfs count="48">
    <dxf>
      <fill>
        <patternFill>
          <bgColor rgb="FFB4A7D6"/>
        </patternFill>
      </fill>
    </dxf>
    <dxf>
      <fill>
        <patternFill>
          <bgColor rgb="FFA9D18E"/>
        </patternFill>
      </fill>
    </dxf>
    <dxf>
      <fill>
        <patternFill>
          <bgColor rgb="FF9DC3E6"/>
        </patternFill>
      </fill>
    </dxf>
    <dxf>
      <fill>
        <patternFill>
          <bgColor rgb="FF8B749D"/>
        </patternFill>
      </fill>
    </dxf>
    <dxf>
      <fill>
        <patternFill>
          <bgColor rgb="FF7EA88D"/>
        </patternFill>
      </fill>
    </dxf>
    <dxf>
      <fill>
        <patternFill>
          <bgColor rgb="FF93AEC4"/>
        </patternFill>
      </fill>
    </dxf>
    <dxf>
      <font>
        <b/>
        <color rgb="FF9A4139"/>
      </font>
      <fill>
        <patternFill>
          <bgColor rgb="FFFCE8E6"/>
        </patternFill>
      </fill>
    </dxf>
    <dxf>
      <fill>
        <patternFill>
          <bgColor rgb="FFDDEBF7"/>
        </patternFill>
      </fill>
    </dxf>
    <dxf>
      <fill>
        <patternFill>
          <bgColor rgb="FFEEF2F6"/>
        </patternFill>
      </fill>
    </dxf>
    <dxf>
      <fill>
        <patternFill>
          <bgColor rgb="FFE2F0D9"/>
        </patternFill>
      </fill>
    </dxf>
    <dxf>
      <font>
        <color rgb="FF647380"/>
      </font>
      <fill>
        <patternFill>
          <bgColor rgb="FFF0F1F3"/>
        </patternFill>
      </fill>
    </dxf>
    <dxf>
      <font>
        <color rgb="FF9A4139"/>
      </font>
      <fill>
        <patternFill>
          <bgColor rgb="FFFCE8E6"/>
        </patternFill>
      </fill>
    </dxf>
    <dxf>
      <font>
        <color rgb="FF647380"/>
      </font>
      <fill>
        <patternFill>
          <bgColor rgb="FFF0F1F3"/>
        </patternFill>
      </fill>
    </dxf>
    <dxf>
      <font>
        <color rgb="FF45647E"/>
      </font>
      <fill>
        <patternFill>
          <bgColor rgb="FFEEF3F8"/>
        </patternFill>
      </fill>
    </dxf>
    <dxf>
      <font>
        <color rgb="FF695284"/>
      </font>
      <fill>
        <patternFill>
          <bgColor rgb="FFEDE7F3"/>
        </patternFill>
      </fill>
    </dxf>
    <dxf>
      <font>
        <color rgb="FF426B8C"/>
      </font>
      <fill>
        <patternFill>
          <bgColor rgb="FFEAF1F7"/>
        </patternFill>
      </fill>
    </dxf>
    <dxf>
      <font>
        <color rgb="FF2C6244"/>
      </font>
      <fill>
        <patternFill>
          <bgColor rgb="FFE7F2EC"/>
        </patternFill>
      </fill>
    </dxf>
    <dxf>
      <font>
        <color rgb="FF647380"/>
      </font>
      <fill>
        <patternFill>
          <bgColor rgb="FFF0F1F3"/>
        </patternFill>
      </fill>
    </dxf>
    <dxf>
      <font>
        <color rgb="FF9A4139"/>
      </font>
      <fill>
        <patternFill>
          <bgColor rgb="FFFCE8E6"/>
        </patternFill>
      </fill>
    </dxf>
    <dxf>
      <font>
        <color rgb="FF647380"/>
      </font>
      <fill>
        <patternFill>
          <bgColor rgb="FFF0F1F3"/>
        </patternFill>
      </fill>
    </dxf>
    <dxf>
      <font>
        <color rgb="FF45647E"/>
      </font>
      <fill>
        <patternFill>
          <bgColor rgb="FFEEF3F8"/>
        </patternFill>
      </fill>
    </dxf>
    <dxf>
      <font>
        <color rgb="FF695284"/>
      </font>
      <fill>
        <patternFill>
          <bgColor rgb="FFEDE7F3"/>
        </patternFill>
      </fill>
    </dxf>
    <dxf>
      <font>
        <color rgb="FF426B8C"/>
      </font>
      <fill>
        <patternFill>
          <bgColor rgb="FFEAF1F7"/>
        </patternFill>
      </fill>
    </dxf>
    <dxf>
      <font>
        <color rgb="FF2C6244"/>
      </font>
      <fill>
        <patternFill>
          <bgColor rgb="FFE7F2EC"/>
        </patternFill>
      </fill>
    </dxf>
    <dxf>
      <font>
        <strike val="0"/>
        <outline val="0"/>
        <shadow val="0"/>
        <u val="none"/>
        <vertAlign val="baseline"/>
        <name val="맑은 고딕"/>
        <family val="3"/>
        <charset val="129"/>
        <scheme val="none"/>
      </font>
      <alignment textRotation="0" wrapText="1" indent="0" justifyLastLine="0" shrinkToFit="0" readingOrder="0"/>
    </dxf>
    <dxf>
      <font>
        <strike val="0"/>
        <outline val="0"/>
        <shadow val="0"/>
        <u val="none"/>
        <vertAlign val="baseline"/>
        <name val="맑은 고딕"/>
        <family val="3"/>
        <charset val="129"/>
        <scheme val="none"/>
      </font>
      <alignment textRotation="0" wrapText="1" indent="0" justifyLastLine="0" shrinkToFit="0" readingOrder="0"/>
    </dxf>
    <dxf>
      <font>
        <strike val="0"/>
        <outline val="0"/>
        <shadow val="0"/>
        <u val="none"/>
        <vertAlign val="baseline"/>
        <name val="맑은 고딕"/>
        <family val="3"/>
        <charset val="129"/>
        <scheme val="none"/>
      </font>
      <alignment textRotation="0" wrapText="1" indent="0" justifyLastLine="0" shrinkToFit="0" readingOrder="0"/>
    </dxf>
    <dxf>
      <font>
        <strike val="0"/>
        <outline val="0"/>
        <shadow val="0"/>
        <u val="none"/>
        <vertAlign val="baseline"/>
        <name val="맑은 고딕"/>
        <family val="3"/>
        <charset val="129"/>
        <scheme val="none"/>
      </font>
      <alignment textRotation="0" wrapText="1" indent="0" justifyLastLine="0" shrinkToFit="0" readingOrder="0"/>
    </dxf>
    <dxf>
      <font>
        <strike val="0"/>
        <outline val="0"/>
        <shadow val="0"/>
        <u val="none"/>
        <vertAlign val="baseline"/>
        <name val="맑은 고딕"/>
        <family val="3"/>
        <charset val="129"/>
        <scheme val="none"/>
      </font>
      <alignment textRotation="0" wrapText="1" indent="0" justifyLastLine="0" shrinkToFit="0" readingOrder="0"/>
    </dxf>
    <dxf>
      <font>
        <strike val="0"/>
        <outline val="0"/>
        <shadow val="0"/>
        <u val="none"/>
        <vertAlign val="baseline"/>
        <name val="맑은 고딕"/>
        <family val="3"/>
        <charset val="129"/>
        <scheme val="none"/>
      </font>
      <alignment textRotation="0" wrapText="1" indent="0" justifyLastLine="0" shrinkToFit="0" readingOrder="0"/>
    </dxf>
    <dxf>
      <font>
        <strike val="0"/>
        <outline val="0"/>
        <shadow val="0"/>
        <u val="none"/>
        <vertAlign val="baseline"/>
        <name val="맑은 고딕"/>
        <family val="3"/>
        <charset val="129"/>
        <scheme val="none"/>
      </font>
      <alignment textRotation="0" wrapText="1" indent="0" justifyLastLine="0" shrinkToFit="0" readingOrder="0"/>
    </dxf>
    <dxf>
      <font>
        <strike val="0"/>
        <outline val="0"/>
        <shadow val="0"/>
        <u val="none"/>
        <vertAlign val="baseline"/>
        <name val="맑은 고딕"/>
        <family val="3"/>
        <charset val="129"/>
        <scheme val="none"/>
      </font>
      <alignment textRotation="0" wrapText="1" indent="0" justifyLastLine="0" shrinkToFit="0" readingOrder="0"/>
    </dxf>
    <dxf>
      <font>
        <strike val="0"/>
        <outline val="0"/>
        <shadow val="0"/>
        <u val="none"/>
        <vertAlign val="baseline"/>
        <name val="맑은 고딕"/>
        <family val="3"/>
        <charset val="129"/>
        <scheme val="none"/>
      </font>
      <alignment textRotation="0" wrapText="1" indent="0" justifyLastLine="0" shrinkToFit="0" readingOrder="0"/>
    </dxf>
    <dxf>
      <font>
        <strike val="0"/>
        <outline val="0"/>
        <shadow val="0"/>
        <u val="none"/>
        <vertAlign val="baseline"/>
        <name val="맑은 고딕"/>
        <family val="3"/>
        <charset val="129"/>
        <scheme val="none"/>
      </font>
      <alignment textRotation="0" wrapText="1" indent="0" justifyLastLine="0" shrinkToFit="0" readingOrder="0"/>
    </dxf>
    <dxf>
      <font>
        <strike val="0"/>
        <outline val="0"/>
        <shadow val="0"/>
        <u val="none"/>
        <vertAlign val="baseline"/>
        <name val="맑은 고딕"/>
        <family val="3"/>
        <charset val="129"/>
        <scheme val="none"/>
      </font>
      <alignment textRotation="0" wrapText="1" indent="0" justifyLastLine="0" shrinkToFit="0" readingOrder="0"/>
    </dxf>
    <dxf>
      <font>
        <strike val="0"/>
        <outline val="0"/>
        <shadow val="0"/>
        <u val="none"/>
        <vertAlign val="baseline"/>
        <name val="맑은 고딕"/>
        <family val="3"/>
        <charset val="129"/>
        <scheme val="none"/>
      </font>
      <alignment textRotation="0" wrapText="1" indent="0" justifyLastLine="0" shrinkToFit="0" readingOrder="0"/>
    </dxf>
    <dxf>
      <font>
        <strike val="0"/>
        <outline val="0"/>
        <shadow val="0"/>
        <u val="none"/>
        <vertAlign val="baseline"/>
        <name val="맑은 고딕"/>
        <family val="3"/>
        <charset val="129"/>
        <scheme val="none"/>
      </font>
      <alignment vertical="center" textRotation="0" wrapText="1" indent="0" justifyLastLine="0" shrinkToFit="0" readingOrder="0"/>
    </dxf>
    <dxf>
      <font>
        <strike val="0"/>
        <outline val="0"/>
        <shadow val="0"/>
        <u val="none"/>
        <vertAlign val="baseline"/>
        <name val="맑은 고딕"/>
        <family val="3"/>
        <charset val="129"/>
        <scheme val="none"/>
      </font>
      <alignment vertical="center" textRotation="0" wrapText="1" indent="0" justifyLastLine="0" shrinkToFit="0" readingOrder="0"/>
    </dxf>
    <dxf>
      <font>
        <strike val="0"/>
        <outline val="0"/>
        <shadow val="0"/>
        <u val="none"/>
        <vertAlign val="baseline"/>
        <name val="맑은 고딕"/>
        <family val="3"/>
        <charset val="129"/>
        <scheme val="none"/>
      </font>
      <alignment vertical="center" textRotation="0" wrapText="1" indent="0" justifyLastLine="0" shrinkToFit="0" readingOrder="0"/>
    </dxf>
    <dxf>
      <font>
        <strike val="0"/>
        <outline val="0"/>
        <shadow val="0"/>
        <u val="none"/>
        <vertAlign val="baseline"/>
        <name val="맑은 고딕"/>
        <family val="3"/>
        <charset val="129"/>
        <scheme val="none"/>
      </font>
      <alignment vertical="center" textRotation="0" wrapText="1" indent="0" justifyLastLine="0" shrinkToFit="0" readingOrder="0"/>
    </dxf>
    <dxf>
      <font>
        <strike val="0"/>
        <outline val="0"/>
        <shadow val="0"/>
        <u val="none"/>
        <vertAlign val="baseline"/>
        <name val="맑은 고딕"/>
        <family val="3"/>
        <charset val="129"/>
        <scheme val="none"/>
      </font>
      <alignment vertical="center" textRotation="0" wrapText="1" indent="0" justifyLastLine="0" shrinkToFit="0" readingOrder="0"/>
    </dxf>
    <dxf>
      <font>
        <strike val="0"/>
        <outline val="0"/>
        <shadow val="0"/>
        <u val="none"/>
        <vertAlign val="baseline"/>
        <name val="맑은 고딕"/>
        <family val="3"/>
        <charset val="129"/>
        <scheme val="none"/>
      </font>
      <alignment vertical="center" textRotation="0" wrapText="1" indent="0" justifyLastLine="0" shrinkToFit="0" readingOrder="0"/>
    </dxf>
    <dxf>
      <font>
        <strike val="0"/>
        <outline val="0"/>
        <shadow val="0"/>
        <u val="none"/>
        <vertAlign val="baseline"/>
        <name val="맑은 고딕"/>
        <family val="3"/>
        <charset val="129"/>
        <scheme val="none"/>
      </font>
      <alignment vertical="center" textRotation="0" wrapText="1" indent="0" justifyLastLine="0" shrinkToFit="0" readingOrder="0"/>
    </dxf>
    <dxf>
      <font>
        <strike val="0"/>
        <outline val="0"/>
        <shadow val="0"/>
        <u val="none"/>
        <vertAlign val="baseline"/>
        <name val="맑은 고딕"/>
        <family val="3"/>
        <charset val="129"/>
        <scheme val="none"/>
      </font>
      <alignment vertical="center" textRotation="0" wrapText="1" indent="0" justifyLastLine="0" shrinkToFit="0" readingOrder="0"/>
    </dxf>
    <dxf>
      <font>
        <strike val="0"/>
        <outline val="0"/>
        <shadow val="0"/>
        <u val="none"/>
        <vertAlign val="baseline"/>
        <name val="맑은 고딕"/>
        <family val="3"/>
        <charset val="129"/>
        <scheme val="none"/>
      </font>
      <alignment vertical="center" textRotation="0" wrapText="1" indent="0" justifyLastLine="0" shrinkToFit="0" readingOrder="0"/>
    </dxf>
    <dxf>
      <font>
        <strike val="0"/>
        <outline val="0"/>
        <shadow val="0"/>
        <u val="none"/>
        <vertAlign val="baseline"/>
        <name val="맑은 고딕"/>
        <family val="3"/>
        <charset val="129"/>
        <scheme val="none"/>
      </font>
      <alignment vertical="center" textRotation="0" wrapText="1" indent="0" justifyLastLine="0" shrinkToFit="0" readingOrder="0"/>
    </dxf>
    <dxf>
      <font>
        <strike val="0"/>
        <outline val="0"/>
        <shadow val="0"/>
        <u val="none"/>
        <vertAlign val="baseline"/>
        <name val="맑은 고딕"/>
        <family val="3"/>
        <charset val="129"/>
        <scheme val="none"/>
      </font>
      <alignment vertical="center" textRotation="0" wrapText="1" indent="0" justifyLastLine="0" shrinkToFit="0" readingOrder="0"/>
    </dxf>
    <dxf>
      <font>
        <strike val="0"/>
        <outline val="0"/>
        <shadow val="0"/>
        <u val="none"/>
        <vertAlign val="baseline"/>
        <name val="맑은 고딕"/>
        <family val="3"/>
        <charset val="129"/>
        <scheme val="none"/>
      </font>
      <alignment vertical="center" textRotation="0" wrapText="1"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0F1F3"/>
      <rgbColor rgb="FFFF00FF"/>
      <rgbColor rgb="FFF5F7FA"/>
      <rgbColor rgb="FF800000"/>
      <rgbColor rgb="FF008000"/>
      <rgbColor rgb="FF000080"/>
      <rgbColor rgb="FF53616D"/>
      <rgbColor rgb="FF800080"/>
      <rgbColor rgb="FF2C6244"/>
      <rgbColor rgb="FFB9C8D4"/>
      <rgbColor rgb="FF8B749D"/>
      <rgbColor rgb="FF93AEC4"/>
      <rgbColor rgb="FF9A4139"/>
      <rgbColor rgb="FFFFFAED"/>
      <rgbColor rgb="FFDDEBF7"/>
      <rgbColor rgb="FF660066"/>
      <rgbColor rgb="FFEAF1F7"/>
      <rgbColor rgb="FF0066CC"/>
      <rgbColor rgb="FFD2D8DE"/>
      <rgbColor rgb="FF000080"/>
      <rgbColor rgb="FFFF00FF"/>
      <rgbColor rgb="FFEDF0F3"/>
      <rgbColor rgb="FF00FFFF"/>
      <rgbColor rgb="FF800080"/>
      <rgbColor rgb="FF800000"/>
      <rgbColor rgb="FF45647E"/>
      <rgbColor rgb="FF0000FF"/>
      <rgbColor rgb="FF00CCFF"/>
      <rgbColor rgb="FFE7F2EC"/>
      <rgbColor rgb="FFE2F0D9"/>
      <rgbColor rgb="FFFCE8E6"/>
      <rgbColor rgb="FF9DC3E6"/>
      <rgbColor rgb="FFA3B5C3"/>
      <rgbColor rgb="FFB4A7D6"/>
      <rgbColor rgb="FFDCE3E9"/>
      <rgbColor rgb="FF3366FF"/>
      <rgbColor rgb="FFEEF3F8"/>
      <rgbColor rgb="FFA9D18E"/>
      <rgbColor rgb="FFEDE7F3"/>
      <rgbColor rgb="FFEEF2F6"/>
      <rgbColor rgb="FFFF6600"/>
      <rgbColor rgb="FF647380"/>
      <rgbColor rgb="FF7EA88D"/>
      <rgbColor rgb="FF233D55"/>
      <rgbColor rgb="FF426B8C"/>
      <rgbColor rgb="FF234154"/>
      <rgbColor rgb="FF1F2937"/>
      <rgbColor rgb="FF6E587B"/>
      <rgbColor rgb="FF695284"/>
      <rgbColor rgb="FF374151"/>
      <rgbColor rgb="FF202B3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sksV1" displayName="TasksV1" ref="A8:J61" totalsRowShown="0" headerRowDxfId="47" dataDxfId="46">
  <autoFilter ref="A8:J61" xr:uid="{00000000-0009-0000-0100-000004000000}"/>
  <tableColumns count="10">
    <tableColumn id="1" xr3:uid="{00000000-0010-0000-0000-000001000000}" name="ID" dataDxfId="45"/>
    <tableColumn id="2" xr3:uid="{00000000-0010-0000-0000-000002000000}" name="단계" dataDxfId="44"/>
    <tableColumn id="3" xr3:uid="{00000000-0010-0000-0000-000003000000}" name="작업" dataDxfId="43"/>
    <tableColumn id="4" xr3:uid="{00000000-0010-0000-0000-000004000000}" name="주담당" dataDxfId="42"/>
    <tableColumn id="5" xr3:uid="{00000000-0010-0000-0000-000005000000}" name="시작" dataDxfId="41"/>
    <tableColumn id="6" xr3:uid="{00000000-0010-0000-0000-000006000000}" name="마감" dataDxfId="40"/>
    <tableColumn id="7" xr3:uid="{00000000-0010-0000-0000-000007000000}" name="상태" dataDxfId="39"/>
    <tableColumn id="8" xr3:uid="{00000000-0010-0000-0000-000008000000}" name="진행률" dataDxfId="38"/>
    <tableColumn id="9" xr3:uid="{00000000-0010-0000-0000-000009000000}" name="범위" dataDxfId="37"/>
    <tableColumn id="10" xr3:uid="{00000000-0010-0000-0000-00000A000000}" name="입력 확인" dataDxfId="3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AcceptanceV1" displayName="AcceptanceV1" ref="A8:J61" totalsRowShown="0" headerRowDxfId="35" dataDxfId="34">
  <autoFilter ref="A8:J61" xr:uid="{00000000-0009-0000-0100-000005000000}"/>
  <tableColumns count="10">
    <tableColumn id="1" xr3:uid="{00000000-0010-0000-0100-000001000000}" name="ID" dataDxfId="33"/>
    <tableColumn id="2" xr3:uid="{00000000-0010-0000-0100-000002000000}" name="작업" dataDxfId="32"/>
    <tableColumn id="3" xr3:uid="{00000000-0010-0000-0100-000003000000}" name="협업" dataDxfId="31"/>
    <tableColumn id="4" xr3:uid="{00000000-0010-0000-0100-000004000000}" name="선행 ID" dataDxfId="30"/>
    <tableColumn id="5" xr3:uid="{00000000-0010-0000-0100-000005000000}" name="산출물" dataDxfId="29"/>
    <tableColumn id="6" xr3:uid="{00000000-0010-0000-0100-000006000000}" name="완료 기준" dataDxfId="28"/>
    <tableColumn id="7" xr3:uid="{00000000-0010-0000-0100-000007000000}" name="완료근거" dataDxfId="27"/>
    <tableColumn id="8" xr3:uid="{00000000-0010-0000-0100-000008000000}" name="관련 요구사항" dataDxfId="26"/>
    <tableColumn id="9" xr3:uid="{00000000-0010-0000-0100-000009000000}" name="관련 기능" dataDxfId="25"/>
    <tableColumn id="10" xr3:uid="{00000000-0010-0000-0100-00000A000000}" name="미정 질문" dataDxfId="24"/>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33D55"/>
    <pageSetUpPr fitToPage="1"/>
  </sheetPr>
  <dimension ref="A1:H66"/>
  <sheetViews>
    <sheetView showGridLines="0" tabSelected="1" workbookViewId="0"/>
  </sheetViews>
  <sheetFormatPr defaultColWidth="8.7109375" defaultRowHeight="15"/>
  <cols>
    <col min="1" max="1" width="14" customWidth="1"/>
    <col min="2" max="2" width="42.42578125" customWidth="1"/>
    <col min="3" max="3" width="13.42578125" customWidth="1"/>
    <col min="4" max="4" width="11" customWidth="1"/>
    <col min="5" max="5" width="14.5703125" customWidth="1"/>
    <col min="6" max="6" width="14" customWidth="1"/>
    <col min="7" max="8" width="12.42578125" customWidth="1"/>
  </cols>
  <sheetData>
    <row r="1" spans="1:8" ht="16.5">
      <c r="A1" s="1"/>
      <c r="B1" s="1"/>
      <c r="C1" s="1"/>
      <c r="D1" s="1"/>
      <c r="E1" s="1"/>
      <c r="F1" s="1"/>
      <c r="G1" s="1"/>
      <c r="H1" s="1"/>
    </row>
    <row r="2" spans="1:8" ht="38.1" customHeight="1">
      <c r="A2" s="60" t="s">
        <v>463</v>
      </c>
      <c r="B2" s="60"/>
      <c r="C2" s="60"/>
      <c r="D2" s="60"/>
      <c r="E2" s="60"/>
      <c r="F2" s="60"/>
      <c r="G2" s="60"/>
      <c r="H2" s="60"/>
    </row>
    <row r="3" spans="1:8" ht="16.5">
      <c r="A3" s="3"/>
      <c r="B3" s="3"/>
      <c r="C3" s="3"/>
      <c r="D3" s="3"/>
      <c r="E3" s="3"/>
      <c r="F3" s="3"/>
      <c r="G3" s="3"/>
      <c r="H3" s="3"/>
    </row>
    <row r="4" spans="1:8" ht="27">
      <c r="A4" s="4" t="s">
        <v>0</v>
      </c>
      <c r="B4" s="4" t="s">
        <v>1</v>
      </c>
      <c r="C4" s="4" t="s">
        <v>2</v>
      </c>
      <c r="D4" s="4" t="s">
        <v>3</v>
      </c>
      <c r="E4" s="4" t="s">
        <v>4</v>
      </c>
      <c r="F4" s="4" t="s">
        <v>5</v>
      </c>
      <c r="G4" s="1"/>
      <c r="H4" s="1"/>
    </row>
    <row r="5" spans="1:8" ht="16.5">
      <c r="A5" s="5" t="s">
        <v>6</v>
      </c>
      <c r="B5" s="5" t="s">
        <v>7</v>
      </c>
      <c r="C5" s="6">
        <v>46319</v>
      </c>
      <c r="D5" s="5" t="s">
        <v>8</v>
      </c>
      <c r="E5" s="5" t="s">
        <v>9</v>
      </c>
      <c r="F5" s="5" t="s">
        <v>10</v>
      </c>
      <c r="G5" s="1"/>
      <c r="H5" s="1"/>
    </row>
    <row r="6" spans="1:8" ht="16.5">
      <c r="A6" s="5" t="s">
        <v>11</v>
      </c>
      <c r="B6" s="5" t="s">
        <v>12</v>
      </c>
      <c r="C6" s="6">
        <v>46322</v>
      </c>
      <c r="D6" s="5" t="s">
        <v>13</v>
      </c>
      <c r="E6" s="5" t="s">
        <v>9</v>
      </c>
      <c r="F6" s="5" t="s">
        <v>10</v>
      </c>
      <c r="G6" s="1"/>
      <c r="H6" s="1"/>
    </row>
    <row r="7" spans="1:8" ht="90" customHeight="1">
      <c r="A7" s="5" t="s">
        <v>77</v>
      </c>
      <c r="B7" s="5" t="s">
        <v>78</v>
      </c>
      <c r="C7" s="6">
        <v>46324</v>
      </c>
      <c r="D7" s="5" t="s">
        <v>9</v>
      </c>
      <c r="E7" s="5" t="s">
        <v>9</v>
      </c>
      <c r="F7" s="5" t="s">
        <v>79</v>
      </c>
      <c r="G7" s="1"/>
      <c r="H7" s="1"/>
    </row>
    <row r="8" spans="1:8" ht="26.25">
      <c r="A8" s="7" t="s">
        <v>14</v>
      </c>
      <c r="B8" s="8">
        <f>COUNTA('작업 관리'!A9:A61)</f>
        <v>53</v>
      </c>
      <c r="C8" s="7" t="s">
        <v>15</v>
      </c>
      <c r="D8" s="8">
        <f>COUNTIF('작업 관리'!J9:J61,"완료 확인")</f>
        <v>0</v>
      </c>
      <c r="E8" s="7" t="s">
        <v>16</v>
      </c>
      <c r="F8" s="8">
        <f>COUNTIF('작업 관리'!G9:G61,"미확인")</f>
        <v>0</v>
      </c>
      <c r="G8" s="7" t="s">
        <v>17</v>
      </c>
      <c r="H8" s="8">
        <f>COUNTIF('작업 관리'!G9:G61,"예정")</f>
        <v>36</v>
      </c>
    </row>
    <row r="9" spans="1:8" ht="16.5">
      <c r="A9" s="1"/>
      <c r="B9" s="1"/>
      <c r="C9" s="1"/>
      <c r="D9" s="1"/>
      <c r="E9" s="1"/>
      <c r="F9" s="1"/>
      <c r="G9" s="1"/>
      <c r="H9" s="1"/>
    </row>
    <row r="10" spans="1:8" ht="16.5">
      <c r="A10" s="9" t="s">
        <v>18</v>
      </c>
      <c r="B10" s="1"/>
      <c r="C10" s="1"/>
      <c r="D10" s="1"/>
      <c r="E10" s="1"/>
      <c r="F10" s="1"/>
      <c r="G10" s="1"/>
      <c r="H10" s="1"/>
    </row>
    <row r="11" spans="1:8" ht="16.5">
      <c r="A11" s="10" t="s">
        <v>19</v>
      </c>
      <c r="B11" s="11" t="s">
        <v>20</v>
      </c>
      <c r="C11" s="11" t="s">
        <v>21</v>
      </c>
      <c r="D11" s="11" t="s">
        <v>22</v>
      </c>
      <c r="E11" s="11" t="s">
        <v>23</v>
      </c>
      <c r="F11" s="11" t="s">
        <v>15</v>
      </c>
      <c r="G11" s="11" t="s">
        <v>24</v>
      </c>
      <c r="H11" s="12" t="s">
        <v>25</v>
      </c>
    </row>
    <row r="12" spans="1:8" ht="16.5">
      <c r="A12" s="1" t="s">
        <v>26</v>
      </c>
      <c r="B12" s="1" t="s">
        <v>27</v>
      </c>
      <c r="C12" s="13">
        <f>COUNTIFS('작업 관리'!$B$9:$B$61,$A12,'작업 관리'!$I$9:$I$61,"필수")</f>
        <v>7</v>
      </c>
      <c r="D12" s="13">
        <f>COUNTIFS('작업 관리'!$B$9:$B$61,$A12,'작업 관리'!$I$9:$I$61,"보완")</f>
        <v>0</v>
      </c>
      <c r="E12" s="13">
        <f>COUNTIFS('작업 관리'!$B$9:$B$61,$A12,'작업 관리'!$I$9:$I$61,"마일스톤")</f>
        <v>1</v>
      </c>
      <c r="F12" s="13">
        <f>COUNTIFS('작업 관리'!$B$9:$B$61,$A12,'작업 관리'!$J$9:$J$61,"완료 확인")</f>
        <v>0</v>
      </c>
      <c r="G12" s="14">
        <f>IFERROR(_xlfn.AGGREGATE(15,6,'작업 관리'!$E$9:$E$61/('작업 관리'!$B$9:$B$61=$A12),1),"")</f>
        <v>46317</v>
      </c>
      <c r="H12" s="14">
        <f>IFERROR(_xlfn.AGGREGATE(14,6,'작업 관리'!$F$9:$F$61/('작업 관리'!$B$9:$B$61=$A12),1),"")</f>
        <v>46321</v>
      </c>
    </row>
    <row r="13" spans="1:8" ht="16.5">
      <c r="A13" s="15" t="s">
        <v>28</v>
      </c>
      <c r="B13" s="15" t="s">
        <v>27</v>
      </c>
      <c r="C13" s="7">
        <f>COUNTIFS('작업 관리'!$B$9:$B$61,$A13,'작업 관리'!$I$9:$I$61,"필수")</f>
        <v>9</v>
      </c>
      <c r="D13" s="7">
        <f>COUNTIFS('작업 관리'!$B$9:$B$61,$A13,'작업 관리'!$I$9:$I$61,"보완")</f>
        <v>0</v>
      </c>
      <c r="E13" s="7">
        <f>COUNTIFS('작업 관리'!$B$9:$B$61,$A13,'작업 관리'!$I$9:$I$61,"마일스톤")</f>
        <v>0</v>
      </c>
      <c r="F13" s="7">
        <f>COUNTIFS('작업 관리'!$B$9:$B$61,$A13,'작업 관리'!$J$9:$J$61,"완료 확인")</f>
        <v>0</v>
      </c>
      <c r="G13" s="16">
        <f>IFERROR(_xlfn.AGGREGATE(15,6,'작업 관리'!$E$9:$E$61/('작업 관리'!$B$9:$B$61=$A13),1),"")</f>
        <v>46318</v>
      </c>
      <c r="H13" s="16">
        <f>IFERROR(_xlfn.AGGREGATE(14,6,'작업 관리'!$F$9:$F$61/('작업 관리'!$B$9:$B$61=$A13),1),"")</f>
        <v>46323</v>
      </c>
    </row>
    <row r="14" spans="1:8" ht="16.5">
      <c r="A14" s="1" t="s">
        <v>29</v>
      </c>
      <c r="B14" s="1" t="s">
        <v>27</v>
      </c>
      <c r="C14" s="13">
        <f>COUNTIFS('작업 관리'!$B$9:$B$61,$A14,'작업 관리'!$I$9:$I$61,"필수")</f>
        <v>12</v>
      </c>
      <c r="D14" s="13">
        <f>COUNTIFS('작업 관리'!$B$9:$B$61,$A14,'작업 관리'!$I$9:$I$61,"보완")</f>
        <v>0</v>
      </c>
      <c r="E14" s="13">
        <f>COUNTIFS('작업 관리'!$B$9:$B$61,$A14,'작업 관리'!$I$9:$I$61,"마일스톤")</f>
        <v>1</v>
      </c>
      <c r="F14" s="13">
        <f>COUNTIFS('작업 관리'!$B$9:$B$61,$A14,'작업 관리'!$J$9:$J$61,"완료 확인")</f>
        <v>0</v>
      </c>
      <c r="G14" s="14">
        <f>IFERROR(_xlfn.AGGREGATE(15,6,'작업 관리'!$E$9:$E$61/('작업 관리'!$B$9:$B$61=$A14),1),"")</f>
        <v>46319</v>
      </c>
      <c r="H14" s="14">
        <f>IFERROR(_xlfn.AGGREGATE(14,6,'작업 관리'!$F$9:$F$61/('작업 관리'!$B$9:$B$61=$A14),1),"")</f>
        <v>46325</v>
      </c>
    </row>
    <row r="15" spans="1:8" ht="16.5">
      <c r="A15" s="15" t="s">
        <v>30</v>
      </c>
      <c r="B15" s="15" t="s">
        <v>27</v>
      </c>
      <c r="C15" s="7">
        <f>COUNTIFS('작업 관리'!$B$9:$B$61,$A15,'작업 관리'!$I$9:$I$61,"필수")</f>
        <v>5</v>
      </c>
      <c r="D15" s="7">
        <f>COUNTIFS('작업 관리'!$B$9:$B$61,$A15,'작업 관리'!$I$9:$I$61,"보완")</f>
        <v>2</v>
      </c>
      <c r="E15" s="7">
        <f>COUNTIFS('작업 관리'!$B$9:$B$61,$A15,'작업 관리'!$I$9:$I$61,"마일스톤")</f>
        <v>1</v>
      </c>
      <c r="F15" s="7">
        <f>COUNTIFS('작업 관리'!$B$9:$B$61,$A15,'작업 관리'!$J$9:$J$61,"완료 확인")</f>
        <v>0</v>
      </c>
      <c r="G15" s="16">
        <f>IFERROR(_xlfn.AGGREGATE(15,6,'작업 관리'!$E$9:$E$61/('작업 관리'!$B$9:$B$61=$A15),1),"")</f>
        <v>46321</v>
      </c>
      <c r="H15" s="16">
        <f>IFERROR(_xlfn.AGGREGATE(14,6,'작업 관리'!$F$9:$F$61/('작업 관리'!$B$9:$B$61=$A15),1),"")</f>
        <v>46325</v>
      </c>
    </row>
    <row r="16" spans="1:8" ht="33">
      <c r="A16" s="1" t="s">
        <v>31</v>
      </c>
      <c r="B16" s="1" t="s">
        <v>27</v>
      </c>
      <c r="C16" s="13">
        <f>COUNTIFS('작업 관리'!$B$9:$B$61,$A16,'작업 관리'!$I$9:$I$61,"필수")</f>
        <v>4</v>
      </c>
      <c r="D16" s="13">
        <f>COUNTIFS('작업 관리'!$B$9:$B$61,$A16,'작업 관리'!$I$9:$I$61,"보완")</f>
        <v>0</v>
      </c>
      <c r="E16" s="13">
        <f>COUNTIFS('작업 관리'!$B$9:$B$61,$A16,'작업 관리'!$I$9:$I$61,"마일스톤")</f>
        <v>1</v>
      </c>
      <c r="F16" s="13">
        <f>COUNTIFS('작업 관리'!$B$9:$B$61,$A16,'작업 관리'!$J$9:$J$61,"완료 확인")</f>
        <v>0</v>
      </c>
      <c r="G16" s="14">
        <f>IFERROR(_xlfn.AGGREGATE(15,6,'작업 관리'!$E$9:$E$61/('작업 관리'!$B$9:$B$61=$A16),1),"")</f>
        <v>46323</v>
      </c>
      <c r="H16" s="14">
        <f>IFERROR(_xlfn.AGGREGATE(14,6,'작업 관리'!$F$9:$F$61/('작업 관리'!$B$9:$B$61=$A16),1),"")</f>
        <v>46326</v>
      </c>
    </row>
    <row r="17" spans="1:8" ht="16.5">
      <c r="A17" s="15" t="s">
        <v>32</v>
      </c>
      <c r="B17" s="15" t="s">
        <v>27</v>
      </c>
      <c r="C17" s="7">
        <f>COUNTIFS('작업 관리'!$B$9:$B$61,$A17,'작업 관리'!$I$9:$I$61,"필수")</f>
        <v>2</v>
      </c>
      <c r="D17" s="7">
        <f>COUNTIFS('작업 관리'!$B$9:$B$61,$A17,'작업 관리'!$I$9:$I$61,"보완")</f>
        <v>0</v>
      </c>
      <c r="E17" s="7">
        <f>COUNTIFS('작업 관리'!$B$9:$B$61,$A17,'작업 관리'!$I$9:$I$61,"마일스톤")</f>
        <v>1</v>
      </c>
      <c r="F17" s="7">
        <f>COUNTIFS('작업 관리'!$B$9:$B$61,$A17,'작업 관리'!$J$9:$J$61,"완료 확인")</f>
        <v>0</v>
      </c>
      <c r="G17" s="16">
        <f>IFERROR(_xlfn.AGGREGATE(15,6,'작업 관리'!$E$9:$E$61/('작업 관리'!$B$9:$B$61=$A17),1),"")</f>
        <v>46326</v>
      </c>
      <c r="H17" s="16">
        <f>IFERROR(_xlfn.AGGREGATE(14,6,'작업 관리'!$F$9:$F$61/('작업 관리'!$B$9:$B$61=$A17),1),"")</f>
        <v>46328</v>
      </c>
    </row>
    <row r="18" spans="1:8" ht="16.5">
      <c r="A18" s="1" t="s">
        <v>33</v>
      </c>
      <c r="B18" s="1" t="s">
        <v>27</v>
      </c>
      <c r="C18" s="13">
        <f>COUNTIFS('작업 관리'!$B$9:$B$61,$A18,'작업 관리'!$I$9:$I$61,"필수")</f>
        <v>5</v>
      </c>
      <c r="D18" s="13">
        <f>COUNTIFS('작업 관리'!$B$9:$B$61,$A18,'작업 관리'!$I$9:$I$61,"보완")</f>
        <v>0</v>
      </c>
      <c r="E18" s="13">
        <f>COUNTIFS('작업 관리'!$B$9:$B$61,$A18,'작업 관리'!$I$9:$I$61,"마일스톤")</f>
        <v>2</v>
      </c>
      <c r="F18" s="13">
        <f>COUNTIFS('작업 관리'!$B$9:$B$61,$A18,'작업 관리'!$J$9:$J$61,"완료 확인")</f>
        <v>0</v>
      </c>
      <c r="G18" s="14">
        <f>IFERROR(_xlfn.AGGREGATE(15,6,'작업 관리'!$E$9:$E$61/('작업 관리'!$B$9:$B$61=$A18),1),"")</f>
        <v>46329</v>
      </c>
      <c r="H18" s="14">
        <f>IFERROR(_xlfn.AGGREGATE(14,6,'작업 관리'!$F$9:$F$61/('작업 관리'!$B$9:$B$61=$A18),1),"")</f>
        <v>46331</v>
      </c>
    </row>
    <row r="19" spans="1:8" ht="16.5">
      <c r="A19" s="1"/>
      <c r="B19" s="1"/>
      <c r="C19" s="1"/>
      <c r="D19" s="1"/>
      <c r="E19" s="1"/>
      <c r="F19" s="1"/>
      <c r="G19" s="1"/>
      <c r="H19" s="1"/>
    </row>
    <row r="20" spans="1:8" ht="16.5">
      <c r="A20" s="1"/>
      <c r="B20" s="1"/>
      <c r="C20" s="1"/>
      <c r="D20" s="1"/>
      <c r="E20" s="1"/>
      <c r="F20" s="1"/>
      <c r="G20" s="1"/>
      <c r="H20" s="1"/>
    </row>
    <row r="21" spans="1:8" ht="33">
      <c r="A21" s="9" t="s">
        <v>34</v>
      </c>
      <c r="B21" s="1" t="s">
        <v>80</v>
      </c>
      <c r="C21" s="1"/>
      <c r="D21" s="1"/>
      <c r="E21" s="1"/>
      <c r="F21" s="1"/>
      <c r="G21" s="1"/>
      <c r="H21" s="1"/>
    </row>
    <row r="22" spans="1:8" ht="16.5">
      <c r="A22" s="10"/>
      <c r="B22" s="11"/>
      <c r="C22" s="11"/>
      <c r="D22" s="11"/>
      <c r="E22" s="11"/>
      <c r="F22" s="11"/>
      <c r="G22" s="12"/>
      <c r="H22" s="1"/>
    </row>
    <row r="23" spans="1:8" ht="16.5">
      <c r="A23" s="1"/>
      <c r="B23" s="1"/>
      <c r="C23" s="13"/>
      <c r="D23" s="17"/>
      <c r="E23" s="13"/>
      <c r="F23" s="1"/>
      <c r="G23" s="1"/>
      <c r="H23" s="1"/>
    </row>
    <row r="24" spans="1:8" ht="33">
      <c r="A24" s="15" t="s">
        <v>35</v>
      </c>
      <c r="B24" s="15" t="s">
        <v>36</v>
      </c>
      <c r="C24" s="7"/>
      <c r="D24" s="18"/>
      <c r="E24" s="7"/>
      <c r="F24" s="15"/>
      <c r="G24" s="15"/>
      <c r="H24" s="1"/>
    </row>
    <row r="25" spans="1:8" ht="16.5">
      <c r="A25" s="1"/>
      <c r="B25" s="1"/>
      <c r="C25" s="13"/>
      <c r="D25" s="17"/>
      <c r="E25" s="13"/>
      <c r="F25" s="1"/>
      <c r="G25" s="1"/>
      <c r="H25" s="1"/>
    </row>
    <row r="26" spans="1:8" ht="16.5">
      <c r="A26" s="15"/>
      <c r="B26" s="15"/>
      <c r="C26" s="7"/>
      <c r="D26" s="18"/>
      <c r="E26" s="7"/>
      <c r="F26" s="15"/>
      <c r="G26" s="15"/>
      <c r="H26" s="1"/>
    </row>
    <row r="27" spans="1:8" ht="16.5">
      <c r="A27" s="1"/>
      <c r="B27" s="1"/>
      <c r="C27" s="13"/>
      <c r="D27" s="17"/>
      <c r="E27" s="13"/>
      <c r="F27" s="1"/>
      <c r="G27" s="1"/>
      <c r="H27" s="1"/>
    </row>
    <row r="28" spans="1:8" ht="16.5">
      <c r="A28" s="15"/>
      <c r="B28" s="15"/>
      <c r="C28" s="7"/>
      <c r="D28" s="18"/>
      <c r="E28" s="7"/>
      <c r="F28" s="15"/>
      <c r="G28" s="15"/>
      <c r="H28" s="1"/>
    </row>
    <row r="29" spans="1:8" ht="16.5">
      <c r="A29" s="1"/>
      <c r="B29" s="1"/>
      <c r="C29" s="13"/>
      <c r="D29" s="17"/>
      <c r="E29" s="13"/>
      <c r="F29" s="1"/>
      <c r="G29" s="1"/>
      <c r="H29" s="1"/>
    </row>
    <row r="30" spans="1:8" ht="16.5">
      <c r="A30" s="1"/>
      <c r="B30" s="1"/>
      <c r="C30" s="1"/>
      <c r="D30" s="1"/>
      <c r="E30" s="1"/>
      <c r="F30" s="1"/>
      <c r="G30" s="1"/>
      <c r="H30" s="1"/>
    </row>
    <row r="31" spans="1:8" ht="16.5">
      <c r="A31" s="1"/>
      <c r="B31" s="1"/>
      <c r="C31" s="1"/>
      <c r="D31" s="1"/>
      <c r="E31" s="1"/>
      <c r="F31" s="1"/>
      <c r="G31" s="1"/>
      <c r="H31" s="1"/>
    </row>
    <row r="32" spans="1:8" ht="16.5">
      <c r="A32" s="1"/>
      <c r="B32" s="1"/>
      <c r="C32" s="1"/>
      <c r="D32" s="1"/>
      <c r="E32" s="1"/>
      <c r="F32" s="1"/>
      <c r="G32" s="1"/>
      <c r="H32" s="1"/>
    </row>
    <row r="33" spans="1:8" ht="16.5">
      <c r="A33" s="1"/>
      <c r="B33" s="1"/>
      <c r="C33" s="1"/>
      <c r="D33" s="1"/>
      <c r="E33" s="1"/>
      <c r="F33" s="1"/>
      <c r="G33" s="1"/>
      <c r="H33" s="1"/>
    </row>
    <row r="34" spans="1:8" ht="16.5">
      <c r="A34" s="59"/>
      <c r="B34" s="59"/>
      <c r="C34" s="59"/>
      <c r="D34" s="59"/>
      <c r="E34" s="59"/>
      <c r="F34" s="59"/>
      <c r="G34" s="59"/>
      <c r="H34" s="59"/>
    </row>
    <row r="35" spans="1:8" ht="16.5">
      <c r="A35" s="58"/>
      <c r="B35" s="58"/>
      <c r="C35" s="58"/>
      <c r="D35" s="58"/>
      <c r="E35" s="58"/>
      <c r="F35" s="58"/>
      <c r="G35" s="58"/>
      <c r="H35" s="58"/>
    </row>
    <row r="36" spans="1:8" ht="16.5">
      <c r="A36" s="1"/>
      <c r="B36" s="1"/>
      <c r="C36" s="1"/>
      <c r="D36" s="1"/>
      <c r="E36" s="1"/>
      <c r="F36" s="1"/>
      <c r="G36" s="1"/>
      <c r="H36" s="1"/>
    </row>
    <row r="37" spans="1:8" ht="16.5">
      <c r="A37" s="59"/>
      <c r="B37" s="59"/>
      <c r="C37" s="59"/>
      <c r="D37" s="59"/>
      <c r="E37" s="59"/>
      <c r="F37" s="59"/>
      <c r="G37" s="59"/>
      <c r="H37" s="59"/>
    </row>
    <row r="38" spans="1:8" ht="16.5">
      <c r="A38" s="58"/>
      <c r="B38" s="58"/>
      <c r="C38" s="58"/>
      <c r="D38" s="58"/>
      <c r="E38" s="58"/>
      <c r="F38" s="58"/>
      <c r="G38" s="58"/>
      <c r="H38" s="58"/>
    </row>
    <row r="39" spans="1:8" ht="16.5">
      <c r="A39" s="1"/>
      <c r="B39" s="1"/>
      <c r="C39" s="1"/>
      <c r="D39" s="1"/>
      <c r="E39" s="1"/>
      <c r="F39" s="1"/>
      <c r="G39" s="1"/>
      <c r="H39" s="1"/>
    </row>
    <row r="40" spans="1:8" ht="16.5">
      <c r="A40" s="59"/>
      <c r="B40" s="59"/>
      <c r="C40" s="59"/>
      <c r="D40" s="59"/>
      <c r="E40" s="59"/>
      <c r="F40" s="59"/>
      <c r="G40" s="59"/>
      <c r="H40" s="59"/>
    </row>
    <row r="41" spans="1:8" ht="16.5">
      <c r="A41" s="58"/>
      <c r="B41" s="58"/>
      <c r="C41" s="58"/>
      <c r="D41" s="58"/>
      <c r="E41" s="58"/>
      <c r="F41" s="58"/>
      <c r="G41" s="58"/>
      <c r="H41" s="58"/>
    </row>
    <row r="42" spans="1:8" ht="16.5">
      <c r="A42" s="1"/>
      <c r="B42" s="1"/>
      <c r="C42" s="1"/>
      <c r="D42" s="1"/>
      <c r="E42" s="1"/>
      <c r="F42" s="1"/>
      <c r="G42" s="1"/>
      <c r="H42" s="1"/>
    </row>
    <row r="43" spans="1:8" ht="16.5">
      <c r="A43" s="59"/>
      <c r="B43" s="59"/>
      <c r="C43" s="59"/>
      <c r="D43" s="59"/>
      <c r="E43" s="59"/>
      <c r="F43" s="59"/>
      <c r="G43" s="59"/>
      <c r="H43" s="59"/>
    </row>
    <row r="44" spans="1:8" ht="16.5">
      <c r="A44" s="58"/>
      <c r="B44" s="58"/>
      <c r="C44" s="58"/>
      <c r="D44" s="58"/>
      <c r="E44" s="58"/>
      <c r="F44" s="58"/>
      <c r="G44" s="58"/>
      <c r="H44" s="58"/>
    </row>
    <row r="45" spans="1:8" ht="16.5">
      <c r="A45" s="1"/>
      <c r="B45" s="1"/>
      <c r="C45" s="1"/>
      <c r="D45" s="1"/>
      <c r="E45" s="1"/>
      <c r="F45" s="1"/>
      <c r="G45" s="1"/>
      <c r="H45" s="1"/>
    </row>
    <row r="46" spans="1:8" ht="16.5">
      <c r="A46" s="59"/>
      <c r="B46" s="59"/>
      <c r="C46" s="59"/>
      <c r="D46" s="59"/>
      <c r="E46" s="59"/>
      <c r="F46" s="59"/>
      <c r="G46" s="59"/>
      <c r="H46" s="59"/>
    </row>
    <row r="47" spans="1:8" ht="16.5">
      <c r="A47" s="58"/>
      <c r="B47" s="58"/>
      <c r="C47" s="58"/>
      <c r="D47" s="58"/>
      <c r="E47" s="58"/>
      <c r="F47" s="58"/>
      <c r="G47" s="58"/>
      <c r="H47" s="58"/>
    </row>
    <row r="48" spans="1:8" ht="16.5">
      <c r="A48" s="1"/>
      <c r="B48" s="1"/>
      <c r="C48" s="1"/>
      <c r="D48" s="1"/>
      <c r="E48" s="1"/>
      <c r="F48" s="1"/>
      <c r="G48" s="1"/>
      <c r="H48" s="1"/>
    </row>
    <row r="49" spans="1:8" ht="16.5">
      <c r="A49" s="59"/>
      <c r="B49" s="59"/>
      <c r="C49" s="59"/>
      <c r="D49" s="59"/>
      <c r="E49" s="59"/>
      <c r="F49" s="59"/>
      <c r="G49" s="59"/>
      <c r="H49" s="59"/>
    </row>
    <row r="50" spans="1:8" ht="16.5">
      <c r="A50" s="58"/>
      <c r="B50" s="58"/>
      <c r="C50" s="58"/>
      <c r="D50" s="58"/>
      <c r="E50" s="58"/>
      <c r="F50" s="58"/>
      <c r="G50" s="58"/>
      <c r="H50" s="58"/>
    </row>
    <row r="51" spans="1:8" ht="16.5">
      <c r="A51" s="1"/>
      <c r="B51" s="1"/>
      <c r="C51" s="1"/>
      <c r="D51" s="1"/>
      <c r="E51" s="1"/>
      <c r="F51" s="1"/>
      <c r="G51" s="1"/>
      <c r="H51" s="1"/>
    </row>
    <row r="52" spans="1:8" ht="16.5">
      <c r="A52" s="59"/>
      <c r="B52" s="59"/>
      <c r="C52" s="59"/>
      <c r="D52" s="59"/>
      <c r="E52" s="59"/>
      <c r="F52" s="59"/>
      <c r="G52" s="59"/>
      <c r="H52" s="59"/>
    </row>
    <row r="53" spans="1:8" ht="16.5">
      <c r="A53" s="58"/>
      <c r="B53" s="58"/>
      <c r="C53" s="58"/>
      <c r="D53" s="58"/>
      <c r="E53" s="58"/>
      <c r="F53" s="58"/>
      <c r="G53" s="58"/>
      <c r="H53" s="58"/>
    </row>
    <row r="54" spans="1:8" ht="16.5">
      <c r="A54" s="1"/>
      <c r="B54" s="1"/>
      <c r="C54" s="1"/>
      <c r="D54" s="1"/>
      <c r="E54" s="1"/>
      <c r="F54" s="1"/>
      <c r="G54" s="1"/>
      <c r="H54" s="1"/>
    </row>
    <row r="55" spans="1:8" ht="16.5">
      <c r="A55" s="59"/>
      <c r="B55" s="59"/>
      <c r="C55" s="59"/>
      <c r="D55" s="59"/>
      <c r="E55" s="59"/>
      <c r="F55" s="59"/>
      <c r="G55" s="59"/>
      <c r="H55" s="59"/>
    </row>
    <row r="56" spans="1:8" ht="16.5">
      <c r="A56" s="58"/>
      <c r="B56" s="58"/>
      <c r="C56" s="58"/>
      <c r="D56" s="58"/>
      <c r="E56" s="58"/>
      <c r="F56" s="58"/>
      <c r="G56" s="58"/>
      <c r="H56" s="58"/>
    </row>
    <row r="57" spans="1:8" ht="16.5">
      <c r="A57" s="1"/>
      <c r="B57" s="1"/>
      <c r="C57" s="1"/>
      <c r="D57" s="1"/>
      <c r="E57" s="1"/>
      <c r="F57" s="1"/>
      <c r="G57" s="1"/>
      <c r="H57" s="1"/>
    </row>
    <row r="58" spans="1:8" ht="16.5">
      <c r="A58" s="1"/>
      <c r="B58" s="1"/>
      <c r="C58" s="1"/>
      <c r="D58" s="1"/>
      <c r="E58" s="1"/>
      <c r="F58" s="1"/>
      <c r="G58" s="1"/>
      <c r="H58" s="1"/>
    </row>
    <row r="59" spans="1:8" ht="16.5">
      <c r="A59" s="1"/>
      <c r="B59" s="1"/>
      <c r="C59" s="1"/>
      <c r="D59" s="1"/>
      <c r="E59" s="1"/>
      <c r="F59" s="1"/>
      <c r="G59" s="1"/>
      <c r="H59" s="1"/>
    </row>
    <row r="60" spans="1:8" ht="16.5">
      <c r="A60" s="1"/>
      <c r="B60" s="1"/>
      <c r="C60" s="1"/>
      <c r="D60" s="1"/>
      <c r="E60" s="1"/>
      <c r="F60" s="1"/>
      <c r="G60" s="1"/>
      <c r="H60" s="1"/>
    </row>
    <row r="61" spans="1:8" ht="16.5">
      <c r="A61" s="1"/>
      <c r="B61" s="1"/>
      <c r="C61" s="1"/>
      <c r="D61" s="1"/>
      <c r="E61" s="1"/>
      <c r="F61" s="1"/>
      <c r="G61" s="1"/>
      <c r="H61" s="1"/>
    </row>
    <row r="62" spans="1:8" ht="16.5">
      <c r="A62" s="1"/>
      <c r="B62" s="1"/>
      <c r="C62" s="1"/>
      <c r="D62" s="1"/>
      <c r="E62" s="1"/>
      <c r="F62" s="1"/>
      <c r="G62" s="1"/>
      <c r="H62" s="1"/>
    </row>
    <row r="63" spans="1:8" ht="16.5">
      <c r="A63" s="1"/>
      <c r="B63" s="1"/>
      <c r="C63" s="1"/>
      <c r="D63" s="1"/>
      <c r="E63" s="1"/>
      <c r="F63" s="1"/>
      <c r="G63" s="1"/>
      <c r="H63" s="1"/>
    </row>
    <row r="64" spans="1:8" ht="16.5">
      <c r="A64" s="1"/>
      <c r="B64" s="1"/>
      <c r="C64" s="1"/>
      <c r="D64" s="1"/>
      <c r="E64" s="1"/>
      <c r="F64" s="1"/>
      <c r="G64" s="1"/>
      <c r="H64" s="1"/>
    </row>
    <row r="65" spans="1:8" ht="16.5">
      <c r="A65" s="1"/>
      <c r="B65" s="1"/>
      <c r="C65" s="1"/>
      <c r="D65" s="1"/>
      <c r="E65" s="1"/>
      <c r="F65" s="1"/>
      <c r="G65" s="1"/>
      <c r="H65" s="1"/>
    </row>
    <row r="66" spans="1:8" ht="16.5">
      <c r="A66" s="1"/>
      <c r="B66" s="1"/>
      <c r="C66" s="1"/>
      <c r="D66" s="1"/>
      <c r="E66" s="1"/>
      <c r="F66" s="1"/>
      <c r="G66" s="1"/>
      <c r="H66" s="1"/>
    </row>
  </sheetData>
  <mergeCells count="17">
    <mergeCell ref="A2:H2"/>
    <mergeCell ref="A34:H34"/>
    <mergeCell ref="A35:H35"/>
    <mergeCell ref="A37:H37"/>
    <mergeCell ref="A38:H38"/>
    <mergeCell ref="A40:H40"/>
    <mergeCell ref="A41:H41"/>
    <mergeCell ref="A43:H43"/>
    <mergeCell ref="A44:H44"/>
    <mergeCell ref="A46:H46"/>
    <mergeCell ref="A47:H47"/>
    <mergeCell ref="A56:H56"/>
    <mergeCell ref="A49:H49"/>
    <mergeCell ref="A50:H50"/>
    <mergeCell ref="A52:H52"/>
    <mergeCell ref="A53:H53"/>
    <mergeCell ref="A55:H55"/>
  </mergeCells>
  <phoneticPr fontId="2" type="noConversion"/>
  <conditionalFormatting sqref="E23:E29">
    <cfRule type="expression" dxfId="23" priority="2">
      <formula>$E23="완료"</formula>
    </cfRule>
    <cfRule type="expression" dxfId="22" priority="3">
      <formula>$E23="진행중"</formula>
    </cfRule>
    <cfRule type="expression" dxfId="21" priority="4">
      <formula>$E23="검토중"</formula>
    </cfRule>
    <cfRule type="expression" dxfId="20" priority="5">
      <formula>$E23="예정"</formula>
    </cfRule>
    <cfRule type="expression" dxfId="19" priority="6">
      <formula>$E23="미확인"</formula>
    </cfRule>
    <cfRule type="expression" dxfId="18" priority="7">
      <formula>$E23="보류"</formula>
    </cfRule>
    <cfRule type="expression" dxfId="17" priority="8">
      <formula>$E23="제외"</formula>
    </cfRule>
  </conditionalFormatting>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26B8C"/>
  </sheetPr>
  <dimension ref="A1:J77"/>
  <sheetViews>
    <sheetView showGridLines="0" workbookViewId="0">
      <pane xSplit="3" ySplit="8" topLeftCell="D9" activePane="bottomRight" state="frozen"/>
      <selection pane="topRight"/>
      <selection pane="bottomLeft"/>
      <selection pane="bottomRight" activeCell="D9" sqref="D9"/>
    </sheetView>
  </sheetViews>
  <sheetFormatPr defaultColWidth="8.7109375" defaultRowHeight="15"/>
  <cols>
    <col min="1" max="1" width="7.7109375" customWidth="1"/>
    <col min="2" max="2" width="17" customWidth="1"/>
    <col min="3" max="3" width="42" customWidth="1"/>
    <col min="4" max="4" width="9.7109375" customWidth="1"/>
    <col min="5" max="6" width="10" customWidth="1"/>
    <col min="7" max="7" width="10.28515625" customWidth="1"/>
    <col min="8" max="8" width="9" customWidth="1"/>
    <col min="9" max="9" width="10.28515625" customWidth="1"/>
    <col min="10" max="10" width="16.85546875" customWidth="1"/>
  </cols>
  <sheetData>
    <row r="1" spans="1:10" ht="16.5">
      <c r="A1" s="1"/>
      <c r="B1" s="1"/>
      <c r="C1" s="1"/>
      <c r="D1" s="1"/>
      <c r="E1" s="1"/>
      <c r="F1" s="1"/>
      <c r="G1" s="1"/>
      <c r="H1" s="1"/>
      <c r="I1" s="1"/>
      <c r="J1" s="1"/>
    </row>
    <row r="2" spans="1:10" ht="236.25">
      <c r="A2" s="2" t="s">
        <v>81</v>
      </c>
      <c r="B2" s="1"/>
      <c r="C2" s="1"/>
      <c r="D2" s="1"/>
      <c r="E2" s="1"/>
      <c r="F2" s="1"/>
      <c r="G2" s="1"/>
      <c r="H2" s="1"/>
      <c r="I2" s="1"/>
      <c r="J2" s="1"/>
    </row>
    <row r="3" spans="1:10" ht="16.5">
      <c r="A3" s="3"/>
      <c r="B3" s="3"/>
      <c r="C3" s="3"/>
      <c r="D3" s="3"/>
      <c r="E3" s="3"/>
      <c r="F3" s="3"/>
      <c r="G3" s="3"/>
      <c r="H3" s="3"/>
      <c r="I3" s="3"/>
      <c r="J3" s="3"/>
    </row>
    <row r="4" spans="1:10" ht="175.5">
      <c r="A4" s="19" t="s">
        <v>37</v>
      </c>
      <c r="B4" s="1"/>
      <c r="C4" s="1"/>
      <c r="D4" s="1"/>
      <c r="E4" s="1"/>
      <c r="F4" s="1"/>
      <c r="G4" s="1"/>
      <c r="H4" s="1"/>
      <c r="I4" s="1"/>
      <c r="J4" s="1"/>
    </row>
    <row r="5" spans="1:10" ht="121.5">
      <c r="A5" s="19" t="s">
        <v>82</v>
      </c>
      <c r="B5" s="1"/>
      <c r="C5" s="1"/>
      <c r="D5" s="1"/>
      <c r="E5" s="1"/>
      <c r="F5" s="1"/>
      <c r="G5" s="1"/>
      <c r="H5" s="1"/>
      <c r="I5" s="1"/>
      <c r="J5" s="1"/>
    </row>
    <row r="6" spans="1:10" ht="189">
      <c r="A6" s="19" t="s">
        <v>38</v>
      </c>
      <c r="B6" s="1"/>
      <c r="C6" s="1"/>
      <c r="D6" s="1"/>
      <c r="E6" s="1"/>
      <c r="F6" s="1"/>
      <c r="G6" s="1"/>
      <c r="H6" s="1"/>
      <c r="I6" s="1"/>
      <c r="J6" s="1"/>
    </row>
    <row r="7" spans="1:10" ht="16.5">
      <c r="A7" s="1"/>
      <c r="B7" s="1"/>
      <c r="C7" s="1"/>
      <c r="D7" s="1"/>
      <c r="E7" s="1"/>
      <c r="F7" s="1"/>
      <c r="G7" s="1"/>
      <c r="H7" s="1"/>
      <c r="I7" s="1"/>
      <c r="J7" s="1"/>
    </row>
    <row r="8" spans="1:10" ht="16.5">
      <c r="A8" s="10" t="s">
        <v>39</v>
      </c>
      <c r="B8" s="11" t="s">
        <v>19</v>
      </c>
      <c r="C8" s="11" t="s">
        <v>40</v>
      </c>
      <c r="D8" s="11" t="s">
        <v>41</v>
      </c>
      <c r="E8" s="11" t="s">
        <v>24</v>
      </c>
      <c r="F8" s="11" t="s">
        <v>25</v>
      </c>
      <c r="G8" s="11" t="s">
        <v>5</v>
      </c>
      <c r="H8" s="11" t="s">
        <v>42</v>
      </c>
      <c r="I8" s="11" t="s">
        <v>43</v>
      </c>
      <c r="J8" s="12" t="s">
        <v>44</v>
      </c>
    </row>
    <row r="9" spans="1:10">
      <c r="A9" s="20" t="s">
        <v>83</v>
      </c>
      <c r="B9" s="21" t="s">
        <v>26</v>
      </c>
      <c r="C9" s="21" t="s">
        <v>84</v>
      </c>
      <c r="D9" s="22" t="s">
        <v>8</v>
      </c>
      <c r="E9" s="23">
        <v>46317</v>
      </c>
      <c r="F9" s="23">
        <v>46317</v>
      </c>
      <c r="G9" s="24" t="s">
        <v>85</v>
      </c>
      <c r="H9" s="25"/>
      <c r="I9" s="22" t="s">
        <v>21</v>
      </c>
      <c r="J9" s="22" t="str">
        <f>IF(G9="완료",IF(AND(H9=1,LEN(INDEX('완료 기준'!$G$9:$G$61,MATCH(A9,'완료 기준'!$A$9:$A$61,0)))&gt;0),"완료 확인","근거 확인 필요"),"")</f>
        <v/>
      </c>
    </row>
    <row r="10" spans="1:10">
      <c r="A10" s="26" t="s">
        <v>86</v>
      </c>
      <c r="B10" s="27" t="s">
        <v>26</v>
      </c>
      <c r="C10" s="27" t="s">
        <v>87</v>
      </c>
      <c r="D10" s="28" t="s">
        <v>88</v>
      </c>
      <c r="E10" s="29">
        <v>46317</v>
      </c>
      <c r="F10" s="29">
        <v>46318</v>
      </c>
      <c r="G10" s="30" t="s">
        <v>85</v>
      </c>
      <c r="H10" s="31"/>
      <c r="I10" s="28" t="s">
        <v>21</v>
      </c>
      <c r="J10" s="28" t="str">
        <f>IF(G10="완료",IF(AND(H10=1,LEN(INDEX('완료 기준'!$G$9:$G$61,MATCH(A10,'완료 기준'!$A$9:$A$61,0)))&gt;0),"완료 확인","근거 확인 필요"),"")</f>
        <v/>
      </c>
    </row>
    <row r="11" spans="1:10">
      <c r="A11" s="32" t="s">
        <v>89</v>
      </c>
      <c r="B11" s="5" t="s">
        <v>26</v>
      </c>
      <c r="C11" s="5" t="s">
        <v>90</v>
      </c>
      <c r="D11" s="33" t="s">
        <v>91</v>
      </c>
      <c r="E11" s="34">
        <v>46317</v>
      </c>
      <c r="F11" s="34">
        <v>46318</v>
      </c>
      <c r="G11" s="30" t="s">
        <v>85</v>
      </c>
      <c r="H11" s="31"/>
      <c r="I11" s="33" t="s">
        <v>21</v>
      </c>
      <c r="J11" s="33" t="str">
        <f>IF(G11="완료",IF(AND(H11=1,LEN(INDEX('완료 기준'!$G$9:$G$61,MATCH(A11,'완료 기준'!$A$9:$A$61,0)))&gt;0),"완료 확인","근거 확인 필요"),"")</f>
        <v/>
      </c>
    </row>
    <row r="12" spans="1:10">
      <c r="A12" s="26" t="s">
        <v>92</v>
      </c>
      <c r="B12" s="27" t="s">
        <v>26</v>
      </c>
      <c r="C12" s="27" t="s">
        <v>93</v>
      </c>
      <c r="D12" s="28" t="s">
        <v>8</v>
      </c>
      <c r="E12" s="29">
        <v>46317</v>
      </c>
      <c r="F12" s="29">
        <v>46318</v>
      </c>
      <c r="G12" s="30" t="s">
        <v>85</v>
      </c>
      <c r="H12" s="31"/>
      <c r="I12" s="28" t="s">
        <v>21</v>
      </c>
      <c r="J12" s="28" t="str">
        <f>IF(G12="완료",IF(AND(H12=1,LEN(INDEX('완료 기준'!$G$9:$G$61,MATCH(A12,'완료 기준'!$A$9:$A$61,0)))&gt;0),"완료 확인","근거 확인 필요"),"")</f>
        <v/>
      </c>
    </row>
    <row r="13" spans="1:10">
      <c r="A13" s="32" t="s">
        <v>94</v>
      </c>
      <c r="B13" s="5" t="s">
        <v>26</v>
      </c>
      <c r="C13" s="5" t="s">
        <v>95</v>
      </c>
      <c r="D13" s="33" t="s">
        <v>91</v>
      </c>
      <c r="E13" s="34">
        <v>46317</v>
      </c>
      <c r="F13" s="34">
        <v>46318</v>
      </c>
      <c r="G13" s="30" t="s">
        <v>85</v>
      </c>
      <c r="H13" s="31"/>
      <c r="I13" s="33" t="s">
        <v>21</v>
      </c>
      <c r="J13" s="33" t="str">
        <f>IF(G13="완료",IF(AND(H13=1,LEN(INDEX('완료 기준'!$G$9:$G$61,MATCH(A13,'완료 기준'!$A$9:$A$61,0)))&gt;0),"완료 확인","근거 확인 필요"),"")</f>
        <v/>
      </c>
    </row>
    <row r="14" spans="1:10">
      <c r="A14" s="26" t="s">
        <v>96</v>
      </c>
      <c r="B14" s="27" t="s">
        <v>26</v>
      </c>
      <c r="C14" s="27" t="s">
        <v>97</v>
      </c>
      <c r="D14" s="28" t="s">
        <v>8</v>
      </c>
      <c r="E14" s="29">
        <v>46318</v>
      </c>
      <c r="F14" s="29">
        <v>46318</v>
      </c>
      <c r="G14" s="30" t="s">
        <v>85</v>
      </c>
      <c r="H14" s="31"/>
      <c r="I14" s="28" t="s">
        <v>23</v>
      </c>
      <c r="J14" s="28" t="str">
        <f>IF(G14="완료",IF(AND(H14=1,LEN(INDEX('완료 기준'!$G$9:$G$61,MATCH(A14,'완료 기준'!$A$9:$A$61,0)))&gt;0),"완료 확인","근거 확인 필요"),"")</f>
        <v/>
      </c>
    </row>
    <row r="15" spans="1:10">
      <c r="A15" s="32" t="s">
        <v>98</v>
      </c>
      <c r="B15" s="5" t="s">
        <v>26</v>
      </c>
      <c r="C15" s="5" t="s">
        <v>99</v>
      </c>
      <c r="D15" s="33" t="s">
        <v>8</v>
      </c>
      <c r="E15" s="34">
        <v>46319</v>
      </c>
      <c r="F15" s="34">
        <v>46319</v>
      </c>
      <c r="G15" s="30" t="s">
        <v>85</v>
      </c>
      <c r="H15" s="31"/>
      <c r="I15" s="33" t="s">
        <v>21</v>
      </c>
      <c r="J15" s="33" t="str">
        <f>IF(G15="완료",IF(AND(H15=1,LEN(INDEX('완료 기준'!$G$9:$G$61,MATCH(A15,'완료 기준'!$A$9:$A$61,0)))&gt;0),"완료 확인","근거 확인 필요"),"")</f>
        <v/>
      </c>
    </row>
    <row r="16" spans="1:10">
      <c r="A16" s="26" t="s">
        <v>100</v>
      </c>
      <c r="B16" s="27" t="s">
        <v>26</v>
      </c>
      <c r="C16" s="27" t="s">
        <v>101</v>
      </c>
      <c r="D16" s="28" t="s">
        <v>91</v>
      </c>
      <c r="E16" s="29">
        <v>46319</v>
      </c>
      <c r="F16" s="29">
        <v>46321</v>
      </c>
      <c r="G16" s="30" t="s">
        <v>17</v>
      </c>
      <c r="H16" s="31"/>
      <c r="I16" s="28" t="s">
        <v>21</v>
      </c>
      <c r="J16" s="28" t="str">
        <f>IF(G16="완료",IF(AND(H16=1,LEN(INDEX('완료 기준'!$G$9:$G$61,MATCH(A16,'완료 기준'!$A$9:$A$61,0)))&gt;0),"완료 확인","근거 확인 필요"),"")</f>
        <v/>
      </c>
    </row>
    <row r="17" spans="1:10">
      <c r="A17" s="32" t="s">
        <v>102</v>
      </c>
      <c r="B17" s="5" t="s">
        <v>28</v>
      </c>
      <c r="C17" s="5" t="s">
        <v>103</v>
      </c>
      <c r="D17" s="33" t="s">
        <v>8</v>
      </c>
      <c r="E17" s="34">
        <v>46318</v>
      </c>
      <c r="F17" s="34">
        <v>46319</v>
      </c>
      <c r="G17" s="30" t="s">
        <v>17</v>
      </c>
      <c r="H17" s="31"/>
      <c r="I17" s="33" t="s">
        <v>21</v>
      </c>
      <c r="J17" s="33" t="str">
        <f>IF(G17="완료",IF(AND(H17=1,LEN(INDEX('완료 기준'!$G$9:$G$61,MATCH(A17,'완료 기준'!$A$9:$A$61,0)))&gt;0),"완료 확인","근거 확인 필요"),"")</f>
        <v/>
      </c>
    </row>
    <row r="18" spans="1:10">
      <c r="A18" s="35" t="s">
        <v>104</v>
      </c>
      <c r="B18" s="36" t="s">
        <v>28</v>
      </c>
      <c r="C18" s="36" t="s">
        <v>105</v>
      </c>
      <c r="D18" s="37" t="s">
        <v>8</v>
      </c>
      <c r="E18" s="38">
        <v>46319</v>
      </c>
      <c r="F18" s="38">
        <v>46320</v>
      </c>
      <c r="G18" s="24" t="s">
        <v>85</v>
      </c>
      <c r="H18" s="25"/>
      <c r="I18" s="37" t="s">
        <v>21</v>
      </c>
      <c r="J18" s="37" t="str">
        <f>IF(G18="완료",IF(AND(H18=1,LEN(INDEX('완료 기준'!$G$9:$G$61,MATCH(A18,'완료 기준'!$A$9:$A$61,0)))&gt;0),"완료 확인","근거 확인 필요"),"")</f>
        <v/>
      </c>
    </row>
    <row r="19" spans="1:10">
      <c r="A19" s="32" t="s">
        <v>106</v>
      </c>
      <c r="B19" s="5" t="s">
        <v>28</v>
      </c>
      <c r="C19" s="5" t="s">
        <v>107</v>
      </c>
      <c r="D19" s="33" t="s">
        <v>88</v>
      </c>
      <c r="E19" s="34">
        <v>46319</v>
      </c>
      <c r="F19" s="34">
        <v>46320</v>
      </c>
      <c r="G19" s="30" t="s">
        <v>85</v>
      </c>
      <c r="H19" s="31"/>
      <c r="I19" s="33" t="s">
        <v>21</v>
      </c>
      <c r="J19" s="33" t="str">
        <f>IF(G19="완료",IF(AND(H19=1,LEN(INDEX('완료 기준'!$G$9:$G$61,MATCH(A19,'완료 기준'!$A$9:$A$61,0)))&gt;0),"완료 확인","근거 확인 필요"),"")</f>
        <v/>
      </c>
    </row>
    <row r="20" spans="1:10">
      <c r="A20" s="26" t="s">
        <v>108</v>
      </c>
      <c r="B20" s="27" t="s">
        <v>28</v>
      </c>
      <c r="C20" s="27" t="s">
        <v>109</v>
      </c>
      <c r="D20" s="28" t="s">
        <v>8</v>
      </c>
      <c r="E20" s="29">
        <v>46319</v>
      </c>
      <c r="F20" s="29">
        <v>46320</v>
      </c>
      <c r="G20" s="30" t="s">
        <v>17</v>
      </c>
      <c r="H20" s="31"/>
      <c r="I20" s="28" t="s">
        <v>21</v>
      </c>
      <c r="J20" s="28" t="str">
        <f>IF(G20="완료",IF(AND(H20=1,LEN(INDEX('완료 기준'!$G$9:$G$61,MATCH(A20,'완료 기준'!$A$9:$A$61,0)))&gt;0),"완료 확인","근거 확인 필요"),"")</f>
        <v/>
      </c>
    </row>
    <row r="21" spans="1:10">
      <c r="A21" s="32" t="s">
        <v>110</v>
      </c>
      <c r="B21" s="5" t="s">
        <v>28</v>
      </c>
      <c r="C21" s="5" t="s">
        <v>111</v>
      </c>
      <c r="D21" s="33" t="s">
        <v>8</v>
      </c>
      <c r="E21" s="34">
        <v>46320</v>
      </c>
      <c r="F21" s="34">
        <v>46320</v>
      </c>
      <c r="G21" s="30" t="s">
        <v>85</v>
      </c>
      <c r="H21" s="31"/>
      <c r="I21" s="33" t="s">
        <v>21</v>
      </c>
      <c r="J21" s="33" t="str">
        <f>IF(G21="완료",IF(AND(H21=1,LEN(INDEX('완료 기준'!$G$9:$G$61,MATCH(A21,'완료 기준'!$A$9:$A$61,0)))&gt;0),"완료 확인","근거 확인 필요"),"")</f>
        <v/>
      </c>
    </row>
    <row r="22" spans="1:10">
      <c r="A22" s="26" t="s">
        <v>112</v>
      </c>
      <c r="B22" s="27" t="s">
        <v>28</v>
      </c>
      <c r="C22" s="27" t="s">
        <v>113</v>
      </c>
      <c r="D22" s="28" t="s">
        <v>88</v>
      </c>
      <c r="E22" s="29">
        <v>46320</v>
      </c>
      <c r="F22" s="29">
        <v>46321</v>
      </c>
      <c r="G22" s="30" t="s">
        <v>85</v>
      </c>
      <c r="H22" s="31"/>
      <c r="I22" s="28" t="s">
        <v>21</v>
      </c>
      <c r="J22" s="28" t="str">
        <f>IF(G22="완료",IF(AND(H22=1,LEN(INDEX('완료 기준'!$G$9:$G$61,MATCH(A22,'완료 기준'!$A$9:$A$61,0)))&gt;0),"완료 확인","근거 확인 필요"),"")</f>
        <v/>
      </c>
    </row>
    <row r="23" spans="1:10">
      <c r="A23" s="32" t="s">
        <v>114</v>
      </c>
      <c r="B23" s="5" t="s">
        <v>28</v>
      </c>
      <c r="C23" s="5" t="s">
        <v>115</v>
      </c>
      <c r="D23" s="33" t="s">
        <v>8</v>
      </c>
      <c r="E23" s="34">
        <v>46320</v>
      </c>
      <c r="F23" s="34">
        <v>46321</v>
      </c>
      <c r="G23" s="30" t="s">
        <v>17</v>
      </c>
      <c r="H23" s="31"/>
      <c r="I23" s="33" t="s">
        <v>21</v>
      </c>
      <c r="J23" s="33" t="str">
        <f>IF(G23="완료",IF(AND(H23=1,LEN(INDEX('완료 기준'!$G$9:$G$61,MATCH(A23,'완료 기준'!$A$9:$A$61,0)))&gt;0),"완료 확인","근거 확인 필요"),"")</f>
        <v/>
      </c>
    </row>
    <row r="24" spans="1:10">
      <c r="A24" s="26" t="s">
        <v>116</v>
      </c>
      <c r="B24" s="27" t="s">
        <v>28</v>
      </c>
      <c r="C24" s="27" t="s">
        <v>117</v>
      </c>
      <c r="D24" s="28" t="s">
        <v>88</v>
      </c>
      <c r="E24" s="29">
        <v>46321</v>
      </c>
      <c r="F24" s="29">
        <v>46321</v>
      </c>
      <c r="G24" s="30" t="s">
        <v>85</v>
      </c>
      <c r="H24" s="31"/>
      <c r="I24" s="28" t="s">
        <v>21</v>
      </c>
      <c r="J24" s="28" t="str">
        <f>IF(G24="완료",IF(AND(H24=1,LEN(INDEX('완료 기준'!$G$9:$G$61,MATCH(A24,'완료 기준'!$A$9:$A$61,0)))&gt;0),"완료 확인","근거 확인 필요"),"")</f>
        <v/>
      </c>
    </row>
    <row r="25" spans="1:10">
      <c r="A25" s="32" t="s">
        <v>118</v>
      </c>
      <c r="B25" s="5" t="s">
        <v>28</v>
      </c>
      <c r="C25" s="5" t="s">
        <v>119</v>
      </c>
      <c r="D25" s="33" t="s">
        <v>88</v>
      </c>
      <c r="E25" s="34">
        <v>46322</v>
      </c>
      <c r="F25" s="34">
        <v>46323</v>
      </c>
      <c r="G25" s="30" t="s">
        <v>85</v>
      </c>
      <c r="H25" s="31"/>
      <c r="I25" s="33" t="s">
        <v>21</v>
      </c>
      <c r="J25" s="33" t="str">
        <f>IF(G25="완료",IF(AND(H25=1,LEN(INDEX('완료 기준'!$G$9:$G$61,MATCH(A25,'완료 기준'!$A$9:$A$61,0)))&gt;0),"완료 확인","근거 확인 필요"),"")</f>
        <v/>
      </c>
    </row>
    <row r="26" spans="1:10">
      <c r="A26" s="26" t="s">
        <v>120</v>
      </c>
      <c r="B26" s="27" t="s">
        <v>29</v>
      </c>
      <c r="C26" s="27" t="s">
        <v>121</v>
      </c>
      <c r="D26" s="28" t="s">
        <v>122</v>
      </c>
      <c r="E26" s="29">
        <v>46319</v>
      </c>
      <c r="F26" s="29">
        <v>46319</v>
      </c>
      <c r="G26" s="30" t="s">
        <v>85</v>
      </c>
      <c r="H26" s="31"/>
      <c r="I26" s="28" t="s">
        <v>21</v>
      </c>
      <c r="J26" s="28" t="str">
        <f>IF(G26="완료",IF(AND(H26=1,LEN(INDEX('완료 기준'!$G$9:$G$61,MATCH(A26,'완료 기준'!$A$9:$A$61,0)))&gt;0),"완료 확인","근거 확인 필요"),"")</f>
        <v/>
      </c>
    </row>
    <row r="27" spans="1:10">
      <c r="A27" s="20" t="s">
        <v>123</v>
      </c>
      <c r="B27" s="21" t="s">
        <v>29</v>
      </c>
      <c r="C27" s="21" t="s">
        <v>124</v>
      </c>
      <c r="D27" s="22" t="s">
        <v>88</v>
      </c>
      <c r="E27" s="23">
        <v>46319</v>
      </c>
      <c r="F27" s="23">
        <v>46321</v>
      </c>
      <c r="G27" s="24" t="s">
        <v>85</v>
      </c>
      <c r="H27" s="25"/>
      <c r="I27" s="22" t="s">
        <v>21</v>
      </c>
      <c r="J27" s="22" t="str">
        <f>IF(G27="완료",IF(AND(H27=1,LEN(INDEX('완료 기준'!$G$9:$G$61,MATCH(A27,'완료 기준'!$A$9:$A$61,0)))&gt;0),"완료 확인","근거 확인 필요"),"")</f>
        <v/>
      </c>
    </row>
    <row r="28" spans="1:10">
      <c r="A28" s="26" t="s">
        <v>125</v>
      </c>
      <c r="B28" s="27" t="s">
        <v>29</v>
      </c>
      <c r="C28" s="27" t="s">
        <v>126</v>
      </c>
      <c r="D28" s="28" t="s">
        <v>122</v>
      </c>
      <c r="E28" s="29">
        <v>46319</v>
      </c>
      <c r="F28" s="29">
        <v>46320</v>
      </c>
      <c r="G28" s="30" t="s">
        <v>17</v>
      </c>
      <c r="H28" s="31"/>
      <c r="I28" s="28" t="s">
        <v>21</v>
      </c>
      <c r="J28" s="28" t="str">
        <f>IF(G28="완료",IF(AND(H28=1,LEN(INDEX('완료 기준'!$G$9:$G$61,MATCH(A28,'완료 기준'!$A$9:$A$61,0)))&gt;0),"완료 확인","근거 확인 필요"),"")</f>
        <v/>
      </c>
    </row>
    <row r="29" spans="1:10">
      <c r="A29" s="32" t="s">
        <v>127</v>
      </c>
      <c r="B29" s="5" t="s">
        <v>29</v>
      </c>
      <c r="C29" s="5" t="s">
        <v>128</v>
      </c>
      <c r="D29" s="33" t="s">
        <v>122</v>
      </c>
      <c r="E29" s="34">
        <v>46320</v>
      </c>
      <c r="F29" s="34">
        <v>46321</v>
      </c>
      <c r="G29" s="30" t="s">
        <v>17</v>
      </c>
      <c r="H29" s="31"/>
      <c r="I29" s="33" t="s">
        <v>21</v>
      </c>
      <c r="J29" s="33" t="str">
        <f>IF(G29="완료",IF(AND(H29=1,LEN(INDEX('완료 기준'!$G$9:$G$61,MATCH(A29,'완료 기준'!$A$9:$A$61,0)))&gt;0),"완료 확인","근거 확인 필요"),"")</f>
        <v/>
      </c>
    </row>
    <row r="30" spans="1:10">
      <c r="A30" s="26" t="s">
        <v>129</v>
      </c>
      <c r="B30" s="27" t="s">
        <v>29</v>
      </c>
      <c r="C30" s="27" t="s">
        <v>130</v>
      </c>
      <c r="D30" s="28" t="s">
        <v>88</v>
      </c>
      <c r="E30" s="29">
        <v>46321</v>
      </c>
      <c r="F30" s="29">
        <v>46321</v>
      </c>
      <c r="G30" s="30" t="s">
        <v>17</v>
      </c>
      <c r="H30" s="31"/>
      <c r="I30" s="28" t="s">
        <v>21</v>
      </c>
      <c r="J30" s="28" t="str">
        <f>IF(G30="완료",IF(AND(H30=1,LEN(INDEX('완료 기준'!$G$9:$G$61,MATCH(A30,'완료 기준'!$A$9:$A$61,0)))&gt;0),"완료 확인","근거 확인 필요"),"")</f>
        <v/>
      </c>
    </row>
    <row r="31" spans="1:10">
      <c r="A31" s="32" t="s">
        <v>131</v>
      </c>
      <c r="B31" s="5" t="s">
        <v>29</v>
      </c>
      <c r="C31" s="5" t="s">
        <v>132</v>
      </c>
      <c r="D31" s="33" t="s">
        <v>122</v>
      </c>
      <c r="E31" s="34">
        <v>46322</v>
      </c>
      <c r="F31" s="34">
        <v>46323</v>
      </c>
      <c r="G31" s="30" t="s">
        <v>17</v>
      </c>
      <c r="H31" s="31"/>
      <c r="I31" s="33" t="s">
        <v>21</v>
      </c>
      <c r="J31" s="33" t="str">
        <f>IF(G31="완료",IF(AND(H31=1,LEN(INDEX('완료 기준'!$G$9:$G$61,MATCH(A31,'완료 기준'!$A$9:$A$61,0)))&gt;0),"완료 확인","근거 확인 필요"),"")</f>
        <v/>
      </c>
    </row>
    <row r="32" spans="1:10">
      <c r="A32" s="26" t="s">
        <v>133</v>
      </c>
      <c r="B32" s="27" t="s">
        <v>29</v>
      </c>
      <c r="C32" s="27" t="s">
        <v>134</v>
      </c>
      <c r="D32" s="28" t="s">
        <v>91</v>
      </c>
      <c r="E32" s="29">
        <v>46322</v>
      </c>
      <c r="F32" s="29">
        <v>46323</v>
      </c>
      <c r="G32" s="30" t="s">
        <v>85</v>
      </c>
      <c r="H32" s="31"/>
      <c r="I32" s="28" t="s">
        <v>21</v>
      </c>
      <c r="J32" s="28" t="str">
        <f>IF(G32="완료",IF(AND(H32=1,LEN(INDEX('완료 기준'!$G$9:$G$61,MATCH(A32,'완료 기준'!$A$9:$A$61,0)))&gt;0),"완료 확인","근거 확인 필요"),"")</f>
        <v/>
      </c>
    </row>
    <row r="33" spans="1:10">
      <c r="A33" s="32" t="s">
        <v>135</v>
      </c>
      <c r="B33" s="5" t="s">
        <v>29</v>
      </c>
      <c r="C33" s="5" t="s">
        <v>136</v>
      </c>
      <c r="D33" s="33" t="s">
        <v>88</v>
      </c>
      <c r="E33" s="34">
        <v>46322</v>
      </c>
      <c r="F33" s="34">
        <v>46323</v>
      </c>
      <c r="G33" s="30" t="s">
        <v>17</v>
      </c>
      <c r="H33" s="31"/>
      <c r="I33" s="33" t="s">
        <v>21</v>
      </c>
      <c r="J33" s="33" t="str">
        <f>IF(G33="완료",IF(AND(H33=1,LEN(INDEX('완료 기준'!$G$9:$G$61,MATCH(A33,'완료 기준'!$A$9:$A$61,0)))&gt;0),"완료 확인","근거 확인 필요"),"")</f>
        <v/>
      </c>
    </row>
    <row r="34" spans="1:10">
      <c r="A34" s="26" t="s">
        <v>137</v>
      </c>
      <c r="B34" s="27" t="s">
        <v>29</v>
      </c>
      <c r="C34" s="27" t="s">
        <v>138</v>
      </c>
      <c r="D34" s="28" t="s">
        <v>122</v>
      </c>
      <c r="E34" s="29">
        <v>46322</v>
      </c>
      <c r="F34" s="29">
        <v>46323</v>
      </c>
      <c r="G34" s="30" t="s">
        <v>17</v>
      </c>
      <c r="H34" s="31"/>
      <c r="I34" s="28" t="s">
        <v>21</v>
      </c>
      <c r="J34" s="28" t="str">
        <f>IF(G34="완료",IF(AND(H34=1,LEN(INDEX('완료 기준'!$G$9:$G$61,MATCH(A34,'완료 기준'!$A$9:$A$61,0)))&gt;0),"완료 확인","근거 확인 필요"),"")</f>
        <v/>
      </c>
    </row>
    <row r="35" spans="1:10">
      <c r="A35" s="20" t="s">
        <v>139</v>
      </c>
      <c r="B35" s="21" t="s">
        <v>29</v>
      </c>
      <c r="C35" s="21" t="s">
        <v>140</v>
      </c>
      <c r="D35" s="22" t="s">
        <v>122</v>
      </c>
      <c r="E35" s="23">
        <v>46323</v>
      </c>
      <c r="F35" s="23">
        <v>46325</v>
      </c>
      <c r="G35" s="24" t="s">
        <v>17</v>
      </c>
      <c r="H35" s="25"/>
      <c r="I35" s="22" t="s">
        <v>21</v>
      </c>
      <c r="J35" s="22" t="str">
        <f>IF(G35="완료",IF(AND(H35=1,LEN(INDEX('완료 기준'!$G$9:$G$61,MATCH(A35,'완료 기준'!$A$9:$A$61,0)))&gt;0),"완료 확인","근거 확인 필요"),"")</f>
        <v/>
      </c>
    </row>
    <row r="36" spans="1:10">
      <c r="A36" s="26" t="s">
        <v>141</v>
      </c>
      <c r="B36" s="27" t="s">
        <v>29</v>
      </c>
      <c r="C36" s="27" t="s">
        <v>142</v>
      </c>
      <c r="D36" s="28" t="s">
        <v>88</v>
      </c>
      <c r="E36" s="29">
        <v>46324</v>
      </c>
      <c r="F36" s="29">
        <v>46325</v>
      </c>
      <c r="G36" s="30" t="s">
        <v>17</v>
      </c>
      <c r="H36" s="31"/>
      <c r="I36" s="28" t="s">
        <v>21</v>
      </c>
      <c r="J36" s="28" t="str">
        <f>IF(G36="완료",IF(AND(H36=1,LEN(INDEX('완료 기준'!$G$9:$G$61,MATCH(A36,'완료 기준'!$A$9:$A$61,0)))&gt;0),"완료 확인","근거 확인 필요"),"")</f>
        <v/>
      </c>
    </row>
    <row r="37" spans="1:10">
      <c r="A37" s="32" t="s">
        <v>143</v>
      </c>
      <c r="B37" s="5" t="s">
        <v>29</v>
      </c>
      <c r="C37" s="5" t="s">
        <v>144</v>
      </c>
      <c r="D37" s="33" t="s">
        <v>122</v>
      </c>
      <c r="E37" s="34">
        <v>46324</v>
      </c>
      <c r="F37" s="34">
        <v>46325</v>
      </c>
      <c r="G37" s="30" t="s">
        <v>17</v>
      </c>
      <c r="H37" s="31"/>
      <c r="I37" s="33" t="s">
        <v>21</v>
      </c>
      <c r="J37" s="33" t="str">
        <f>IF(G37="완료",IF(AND(H37=1,LEN(INDEX('완료 기준'!$G$9:$G$61,MATCH(A37,'완료 기준'!$A$9:$A$61,0)))&gt;0),"완료 확인","근거 확인 필요"),"")</f>
        <v/>
      </c>
    </row>
    <row r="38" spans="1:10">
      <c r="A38" s="26" t="s">
        <v>145</v>
      </c>
      <c r="B38" s="27" t="s">
        <v>29</v>
      </c>
      <c r="C38" s="27" t="s">
        <v>146</v>
      </c>
      <c r="D38" s="28" t="s">
        <v>8</v>
      </c>
      <c r="E38" s="29">
        <v>46325</v>
      </c>
      <c r="F38" s="29">
        <v>46325</v>
      </c>
      <c r="G38" s="30" t="s">
        <v>17</v>
      </c>
      <c r="H38" s="31"/>
      <c r="I38" s="28" t="s">
        <v>23</v>
      </c>
      <c r="J38" s="28" t="str">
        <f>IF(G38="완료",IF(AND(H38=1,LEN(INDEX('완료 기준'!$G$9:$G$61,MATCH(A38,'완료 기준'!$A$9:$A$61,0)))&gt;0),"완료 확인","근거 확인 필요"),"")</f>
        <v/>
      </c>
    </row>
    <row r="39" spans="1:10">
      <c r="A39" s="32" t="s">
        <v>147</v>
      </c>
      <c r="B39" s="5" t="s">
        <v>30</v>
      </c>
      <c r="C39" s="5" t="s">
        <v>148</v>
      </c>
      <c r="D39" s="33" t="s">
        <v>91</v>
      </c>
      <c r="E39" s="34">
        <v>46321</v>
      </c>
      <c r="F39" s="34">
        <v>46321</v>
      </c>
      <c r="G39" s="30" t="s">
        <v>85</v>
      </c>
      <c r="H39" s="31"/>
      <c r="I39" s="33" t="s">
        <v>21</v>
      </c>
      <c r="J39" s="33" t="str">
        <f>IF(G39="완료",IF(AND(H39=1,LEN(INDEX('완료 기준'!$G$9:$G$61,MATCH(A39,'완료 기준'!$A$9:$A$61,0)))&gt;0),"완료 확인","근거 확인 필요"),"")</f>
        <v/>
      </c>
    </row>
    <row r="40" spans="1:10">
      <c r="A40" s="26" t="s">
        <v>149</v>
      </c>
      <c r="B40" s="27" t="s">
        <v>30</v>
      </c>
      <c r="C40" s="27" t="s">
        <v>150</v>
      </c>
      <c r="D40" s="28" t="s">
        <v>8</v>
      </c>
      <c r="E40" s="29">
        <v>46321</v>
      </c>
      <c r="F40" s="29">
        <v>46322</v>
      </c>
      <c r="G40" s="30" t="s">
        <v>17</v>
      </c>
      <c r="H40" s="31"/>
      <c r="I40" s="28" t="s">
        <v>21</v>
      </c>
      <c r="J40" s="28" t="str">
        <f>IF(G40="완료",IF(AND(H40=1,LEN(INDEX('완료 기준'!$G$9:$G$61,MATCH(A40,'완료 기준'!$A$9:$A$61,0)))&gt;0),"완료 확인","근거 확인 필요"),"")</f>
        <v/>
      </c>
    </row>
    <row r="41" spans="1:10">
      <c r="A41" s="32" t="s">
        <v>151</v>
      </c>
      <c r="B41" s="5" t="s">
        <v>30</v>
      </c>
      <c r="C41" s="5" t="s">
        <v>152</v>
      </c>
      <c r="D41" s="33" t="s">
        <v>8</v>
      </c>
      <c r="E41" s="34">
        <v>46321</v>
      </c>
      <c r="F41" s="34">
        <v>46322</v>
      </c>
      <c r="G41" s="30" t="s">
        <v>17</v>
      </c>
      <c r="H41" s="31"/>
      <c r="I41" s="33" t="s">
        <v>21</v>
      </c>
      <c r="J41" s="33" t="str">
        <f>IF(G41="완료",IF(AND(H41=1,LEN(INDEX('완료 기준'!$G$9:$G$61,MATCH(A41,'완료 기준'!$A$9:$A$61,0)))&gt;0),"완료 확인","근거 확인 필요"),"")</f>
        <v/>
      </c>
    </row>
    <row r="42" spans="1:10">
      <c r="A42" s="26" t="s">
        <v>153</v>
      </c>
      <c r="B42" s="27" t="s">
        <v>30</v>
      </c>
      <c r="C42" s="27" t="s">
        <v>154</v>
      </c>
      <c r="D42" s="28" t="s">
        <v>8</v>
      </c>
      <c r="E42" s="29">
        <v>46322</v>
      </c>
      <c r="F42" s="29">
        <v>46323</v>
      </c>
      <c r="G42" s="30" t="s">
        <v>17</v>
      </c>
      <c r="H42" s="31"/>
      <c r="I42" s="28" t="s">
        <v>22</v>
      </c>
      <c r="J42" s="28" t="str">
        <f>IF(G42="완료",IF(AND(H42=1,LEN(INDEX('완료 기준'!$G$9:$G$61,MATCH(A42,'완료 기준'!$A$9:$A$61,0)))&gt;0),"완료 확인","근거 확인 필요"),"")</f>
        <v/>
      </c>
    </row>
    <row r="43" spans="1:10">
      <c r="A43" s="20" t="s">
        <v>155</v>
      </c>
      <c r="B43" s="21" t="s">
        <v>30</v>
      </c>
      <c r="C43" s="21" t="s">
        <v>156</v>
      </c>
      <c r="D43" s="22" t="s">
        <v>8</v>
      </c>
      <c r="E43" s="23">
        <v>46322</v>
      </c>
      <c r="F43" s="23">
        <v>46323</v>
      </c>
      <c r="G43" s="24" t="s">
        <v>17</v>
      </c>
      <c r="H43" s="25"/>
      <c r="I43" s="22" t="s">
        <v>21</v>
      </c>
      <c r="J43" s="22" t="str">
        <f>IF(G43="완료",IF(AND(H43=1,LEN(INDEX('완료 기준'!$G$9:$G$61,MATCH(A43,'완료 기준'!$A$9:$A$61,0)))&gt;0),"완료 확인","근거 확인 필요"),"")</f>
        <v/>
      </c>
    </row>
    <row r="44" spans="1:10">
      <c r="A44" s="26" t="s">
        <v>157</v>
      </c>
      <c r="B44" s="27" t="s">
        <v>30</v>
      </c>
      <c r="C44" s="27" t="s">
        <v>158</v>
      </c>
      <c r="D44" s="28" t="s">
        <v>122</v>
      </c>
      <c r="E44" s="29">
        <v>46324</v>
      </c>
      <c r="F44" s="29">
        <v>46325</v>
      </c>
      <c r="G44" s="30" t="s">
        <v>17</v>
      </c>
      <c r="H44" s="31"/>
      <c r="I44" s="28" t="s">
        <v>21</v>
      </c>
      <c r="J44" s="28" t="str">
        <f>IF(G44="완료",IF(AND(H44=1,LEN(INDEX('완료 기준'!$G$9:$G$61,MATCH(A44,'완료 기준'!$A$9:$A$61,0)))&gt;0),"완료 확인","근거 확인 필요"),"")</f>
        <v/>
      </c>
    </row>
    <row r="45" spans="1:10">
      <c r="A45" s="32" t="s">
        <v>159</v>
      </c>
      <c r="B45" s="5" t="s">
        <v>30</v>
      </c>
      <c r="C45" s="5" t="s">
        <v>160</v>
      </c>
      <c r="D45" s="33" t="s">
        <v>122</v>
      </c>
      <c r="E45" s="34">
        <v>46325</v>
      </c>
      <c r="F45" s="34">
        <v>46325</v>
      </c>
      <c r="G45" s="30" t="s">
        <v>17</v>
      </c>
      <c r="H45" s="31"/>
      <c r="I45" s="33" t="s">
        <v>22</v>
      </c>
      <c r="J45" s="33" t="str">
        <f>IF(G45="완료",IF(AND(H45=1,LEN(INDEX('완료 기준'!$G$9:$G$61,MATCH(A45,'완료 기준'!$A$9:$A$61,0)))&gt;0),"완료 확인","근거 확인 필요"),"")</f>
        <v/>
      </c>
    </row>
    <row r="46" spans="1:10">
      <c r="A46" s="26" t="s">
        <v>161</v>
      </c>
      <c r="B46" s="27" t="s">
        <v>30</v>
      </c>
      <c r="C46" s="27" t="s">
        <v>162</v>
      </c>
      <c r="D46" s="28" t="s">
        <v>8</v>
      </c>
      <c r="E46" s="29">
        <v>46325</v>
      </c>
      <c r="F46" s="29">
        <v>46325</v>
      </c>
      <c r="G46" s="30" t="s">
        <v>17</v>
      </c>
      <c r="H46" s="31"/>
      <c r="I46" s="28" t="s">
        <v>23</v>
      </c>
      <c r="J46" s="28" t="str">
        <f>IF(G46="완료",IF(AND(H46=1,LEN(INDEX('완료 기준'!$G$9:$G$61,MATCH(A46,'완료 기준'!$A$9:$A$61,0)))&gt;0),"완료 확인","근거 확인 필요"),"")</f>
        <v/>
      </c>
    </row>
    <row r="47" spans="1:10">
      <c r="A47" s="32" t="s">
        <v>163</v>
      </c>
      <c r="B47" s="5" t="s">
        <v>31</v>
      </c>
      <c r="C47" s="5" t="s">
        <v>164</v>
      </c>
      <c r="D47" s="33" t="s">
        <v>88</v>
      </c>
      <c r="E47" s="34">
        <v>46323</v>
      </c>
      <c r="F47" s="34">
        <v>46323</v>
      </c>
      <c r="G47" s="30" t="s">
        <v>17</v>
      </c>
      <c r="H47" s="31"/>
      <c r="I47" s="33" t="s">
        <v>21</v>
      </c>
      <c r="J47" s="33" t="str">
        <f>IF(G47="완료",IF(AND(H47=1,LEN(INDEX('완료 기준'!$G$9:$G$61,MATCH(A47,'완료 기준'!$A$9:$A$61,0)))&gt;0),"완료 확인","근거 확인 필요"),"")</f>
        <v/>
      </c>
    </row>
    <row r="48" spans="1:10">
      <c r="A48" s="26" t="s">
        <v>165</v>
      </c>
      <c r="B48" s="27" t="s">
        <v>31</v>
      </c>
      <c r="C48" s="27" t="s">
        <v>166</v>
      </c>
      <c r="D48" s="28" t="s">
        <v>88</v>
      </c>
      <c r="E48" s="29">
        <v>46323</v>
      </c>
      <c r="F48" s="29">
        <v>46324</v>
      </c>
      <c r="G48" s="30" t="s">
        <v>17</v>
      </c>
      <c r="H48" s="31"/>
      <c r="I48" s="28" t="s">
        <v>21</v>
      </c>
      <c r="J48" s="28" t="str">
        <f>IF(G48="완료",IF(AND(H48=1,LEN(INDEX('완료 기준'!$G$9:$G$61,MATCH(A48,'완료 기준'!$A$9:$A$61,0)))&gt;0),"완료 확인","근거 확인 필요"),"")</f>
        <v/>
      </c>
    </row>
    <row r="49" spans="1:10">
      <c r="A49" s="32" t="s">
        <v>167</v>
      </c>
      <c r="B49" s="5" t="s">
        <v>31</v>
      </c>
      <c r="C49" s="5" t="s">
        <v>168</v>
      </c>
      <c r="D49" s="33" t="s">
        <v>122</v>
      </c>
      <c r="E49" s="34">
        <v>46324</v>
      </c>
      <c r="F49" s="34">
        <v>46325</v>
      </c>
      <c r="G49" s="30" t="s">
        <v>17</v>
      </c>
      <c r="H49" s="31"/>
      <c r="I49" s="33" t="s">
        <v>21</v>
      </c>
      <c r="J49" s="33" t="str">
        <f>IF(G49="완료",IF(AND(H49=1,LEN(INDEX('완료 기준'!$G$9:$G$61,MATCH(A49,'완료 기준'!$A$9:$A$61,0)))&gt;0),"완료 확인","근거 확인 필요"),"")</f>
        <v/>
      </c>
    </row>
    <row r="50" spans="1:10">
      <c r="A50" s="26" t="s">
        <v>169</v>
      </c>
      <c r="B50" s="27" t="s">
        <v>31</v>
      </c>
      <c r="C50" s="27" t="s">
        <v>170</v>
      </c>
      <c r="D50" s="28" t="s">
        <v>122</v>
      </c>
      <c r="E50" s="29">
        <v>46325</v>
      </c>
      <c r="F50" s="29">
        <v>46325</v>
      </c>
      <c r="G50" s="30" t="s">
        <v>17</v>
      </c>
      <c r="H50" s="31"/>
      <c r="I50" s="28" t="s">
        <v>21</v>
      </c>
      <c r="J50" s="28" t="str">
        <f>IF(G50="완료",IF(AND(H50=1,LEN(INDEX('완료 기준'!$G$9:$G$61,MATCH(A50,'완료 기준'!$A$9:$A$61,0)))&gt;0),"완료 확인","근거 확인 필요"),"")</f>
        <v/>
      </c>
    </row>
    <row r="51" spans="1:10">
      <c r="A51" s="20" t="s">
        <v>171</v>
      </c>
      <c r="B51" s="21" t="s">
        <v>31</v>
      </c>
      <c r="C51" s="21" t="s">
        <v>172</v>
      </c>
      <c r="D51" s="22" t="s">
        <v>8</v>
      </c>
      <c r="E51" s="23">
        <v>46326</v>
      </c>
      <c r="F51" s="23">
        <v>46326</v>
      </c>
      <c r="G51" s="24" t="s">
        <v>17</v>
      </c>
      <c r="H51" s="25"/>
      <c r="I51" s="22" t="s">
        <v>23</v>
      </c>
      <c r="J51" s="22" t="str">
        <f>IF(G51="완료",IF(AND(H51=1,LEN(INDEX('완료 기준'!$G$9:$G$61,MATCH(A51,'완료 기준'!$A$9:$A$61,0)))&gt;0),"완료 확인","근거 확인 필요"),"")</f>
        <v/>
      </c>
    </row>
    <row r="52" spans="1:10">
      <c r="A52" s="26" t="s">
        <v>173</v>
      </c>
      <c r="B52" s="27" t="s">
        <v>32</v>
      </c>
      <c r="C52" s="27" t="s">
        <v>174</v>
      </c>
      <c r="D52" s="28" t="s">
        <v>122</v>
      </c>
      <c r="E52" s="29">
        <v>46326</v>
      </c>
      <c r="F52" s="29">
        <v>46326</v>
      </c>
      <c r="G52" s="30" t="s">
        <v>17</v>
      </c>
      <c r="H52" s="31"/>
      <c r="I52" s="28" t="s">
        <v>21</v>
      </c>
      <c r="J52" s="28" t="str">
        <f>IF(G52="완료",IF(AND(H52=1,LEN(INDEX('완료 기준'!$G$9:$G$61,MATCH(A52,'완료 기준'!$A$9:$A$61,0)))&gt;0),"완료 확인","근거 확인 필요"),"")</f>
        <v/>
      </c>
    </row>
    <row r="53" spans="1:10">
      <c r="A53" s="32" t="s">
        <v>175</v>
      </c>
      <c r="B53" s="5" t="s">
        <v>32</v>
      </c>
      <c r="C53" s="5" t="s">
        <v>176</v>
      </c>
      <c r="D53" s="33" t="s">
        <v>122</v>
      </c>
      <c r="E53" s="34">
        <v>46328</v>
      </c>
      <c r="F53" s="34">
        <v>46328</v>
      </c>
      <c r="G53" s="30" t="s">
        <v>17</v>
      </c>
      <c r="H53" s="31"/>
      <c r="I53" s="33" t="s">
        <v>21</v>
      </c>
      <c r="J53" s="33" t="str">
        <f>IF(G53="완료",IF(AND(H53=1,LEN(INDEX('완료 기준'!$G$9:$G$61,MATCH(A53,'완료 기준'!$A$9:$A$61,0)))&gt;0),"완료 확인","근거 확인 필요"),"")</f>
        <v/>
      </c>
    </row>
    <row r="54" spans="1:10">
      <c r="A54" s="26" t="s">
        <v>177</v>
      </c>
      <c r="B54" s="27" t="s">
        <v>32</v>
      </c>
      <c r="C54" s="27" t="s">
        <v>178</v>
      </c>
      <c r="D54" s="28" t="s">
        <v>8</v>
      </c>
      <c r="E54" s="29">
        <v>46328</v>
      </c>
      <c r="F54" s="29">
        <v>46328</v>
      </c>
      <c r="G54" s="30" t="s">
        <v>17</v>
      </c>
      <c r="H54" s="31"/>
      <c r="I54" s="28" t="s">
        <v>23</v>
      </c>
      <c r="J54" s="28" t="str">
        <f>IF(G54="완료",IF(AND(H54=1,LEN(INDEX('완료 기준'!$G$9:$G$61,MATCH(A54,'완료 기준'!$A$9:$A$61,0)))&gt;0),"완료 확인","근거 확인 필요"),"")</f>
        <v/>
      </c>
    </row>
    <row r="55" spans="1:10">
      <c r="A55" s="32" t="s">
        <v>179</v>
      </c>
      <c r="B55" s="5" t="s">
        <v>33</v>
      </c>
      <c r="C55" s="5" t="s">
        <v>180</v>
      </c>
      <c r="D55" s="33" t="s">
        <v>88</v>
      </c>
      <c r="E55" s="34">
        <v>46329</v>
      </c>
      <c r="F55" s="34">
        <v>46329</v>
      </c>
      <c r="G55" s="30" t="s">
        <v>17</v>
      </c>
      <c r="H55" s="31"/>
      <c r="I55" s="33" t="s">
        <v>21</v>
      </c>
      <c r="J55" s="33" t="str">
        <f>IF(G55="완료",IF(AND(H55=1,LEN(INDEX('완료 기준'!$G$9:$G$61,MATCH(A55,'완료 기준'!$A$9:$A$61,0)))&gt;0),"완료 확인","근거 확인 필요"),"")</f>
        <v/>
      </c>
    </row>
    <row r="56" spans="1:10">
      <c r="A56" s="26" t="s">
        <v>181</v>
      </c>
      <c r="B56" s="27" t="s">
        <v>33</v>
      </c>
      <c r="C56" s="27" t="s">
        <v>182</v>
      </c>
      <c r="D56" s="28" t="s">
        <v>91</v>
      </c>
      <c r="E56" s="29">
        <v>46329</v>
      </c>
      <c r="F56" s="29">
        <v>46329</v>
      </c>
      <c r="G56" s="30" t="s">
        <v>17</v>
      </c>
      <c r="H56" s="31"/>
      <c r="I56" s="28" t="s">
        <v>21</v>
      </c>
      <c r="J56" s="28" t="str">
        <f>IF(G56="완료",IF(AND(H56=1,LEN(INDEX('완료 기준'!$G$9:$G$61,MATCH(A56,'완료 기준'!$A$9:$A$61,0)))&gt;0),"완료 확인","근거 확인 필요"),"")</f>
        <v/>
      </c>
    </row>
    <row r="57" spans="1:10">
      <c r="A57" s="32" t="s">
        <v>183</v>
      </c>
      <c r="B57" s="5" t="s">
        <v>33</v>
      </c>
      <c r="C57" s="5" t="s">
        <v>184</v>
      </c>
      <c r="D57" s="33" t="s">
        <v>122</v>
      </c>
      <c r="E57" s="34">
        <v>46330</v>
      </c>
      <c r="F57" s="34">
        <v>46330</v>
      </c>
      <c r="G57" s="30" t="s">
        <v>17</v>
      </c>
      <c r="H57" s="31"/>
      <c r="I57" s="33" t="s">
        <v>21</v>
      </c>
      <c r="J57" s="33" t="str">
        <f>IF(G57="완료",IF(AND(H57=1,LEN(INDEX('완료 기준'!$G$9:$G$61,MATCH(A57,'완료 기준'!$A$9:$A$61,0)))&gt;0),"완료 확인","근거 확인 필요"),"")</f>
        <v/>
      </c>
    </row>
    <row r="58" spans="1:10">
      <c r="A58" s="35" t="s">
        <v>185</v>
      </c>
      <c r="B58" s="36" t="s">
        <v>33</v>
      </c>
      <c r="C58" s="36" t="s">
        <v>186</v>
      </c>
      <c r="D58" s="37" t="s">
        <v>8</v>
      </c>
      <c r="E58" s="38">
        <v>46330</v>
      </c>
      <c r="F58" s="38">
        <v>46330</v>
      </c>
      <c r="G58" s="24" t="s">
        <v>17</v>
      </c>
      <c r="H58" s="25"/>
      <c r="I58" s="37" t="s">
        <v>21</v>
      </c>
      <c r="J58" s="37" t="str">
        <f>IF(G58="완료",IF(AND(H58=1,LEN(INDEX('완료 기준'!$G$9:$G$61,MATCH(A58,'완료 기준'!$A$9:$A$61,0)))&gt;0),"완료 확인","근거 확인 필요"),"")</f>
        <v/>
      </c>
    </row>
    <row r="59" spans="1:10">
      <c r="A59" s="32" t="s">
        <v>187</v>
      </c>
      <c r="B59" s="5" t="s">
        <v>33</v>
      </c>
      <c r="C59" s="5" t="s">
        <v>188</v>
      </c>
      <c r="D59" s="33" t="s">
        <v>91</v>
      </c>
      <c r="E59" s="34">
        <v>46330</v>
      </c>
      <c r="F59" s="34">
        <v>46330</v>
      </c>
      <c r="G59" s="30" t="s">
        <v>17</v>
      </c>
      <c r="H59" s="31"/>
      <c r="I59" s="33" t="s">
        <v>21</v>
      </c>
      <c r="J59" s="33" t="str">
        <f>IF(G59="완료",IF(AND(H59=1,LEN(INDEX('완료 기준'!$G$9:$G$61,MATCH(A59,'완료 기준'!$A$9:$A$61,0)))&gt;0),"완료 확인","근거 확인 필요"),"")</f>
        <v/>
      </c>
    </row>
    <row r="60" spans="1:10">
      <c r="A60" s="26" t="s">
        <v>189</v>
      </c>
      <c r="B60" s="27" t="s">
        <v>33</v>
      </c>
      <c r="C60" s="27" t="s">
        <v>190</v>
      </c>
      <c r="D60" s="28" t="s">
        <v>8</v>
      </c>
      <c r="E60" s="29">
        <v>46331</v>
      </c>
      <c r="F60" s="29">
        <v>46331</v>
      </c>
      <c r="G60" s="30" t="s">
        <v>17</v>
      </c>
      <c r="H60" s="31"/>
      <c r="I60" s="28" t="s">
        <v>23</v>
      </c>
      <c r="J60" s="28" t="str">
        <f>IF(G60="완료",IF(AND(H60=1,LEN(INDEX('완료 기준'!$G$9:$G$61,MATCH(A60,'완료 기준'!$A$9:$A$61,0)))&gt;0),"완료 확인","근거 확인 필요"),"")</f>
        <v/>
      </c>
    </row>
    <row r="61" spans="1:10">
      <c r="A61" s="32" t="s">
        <v>191</v>
      </c>
      <c r="B61" s="5" t="s">
        <v>33</v>
      </c>
      <c r="C61" s="5" t="s">
        <v>192</v>
      </c>
      <c r="D61" s="33" t="s">
        <v>91</v>
      </c>
      <c r="E61" s="34">
        <v>46331</v>
      </c>
      <c r="F61" s="34">
        <v>46331</v>
      </c>
      <c r="G61" s="30" t="s">
        <v>17</v>
      </c>
      <c r="H61" s="31"/>
      <c r="I61" s="33" t="s">
        <v>23</v>
      </c>
      <c r="J61" s="33" t="str">
        <f>IF(G61="완료",IF(AND(H61=1,LEN(INDEX('완료 기준'!$G$9:$G$61,MATCH(A61,'완료 기준'!$A$9:$A$61,0)))&gt;0),"완료 확인","근거 확인 필요"),"")</f>
        <v/>
      </c>
    </row>
    <row r="62" spans="1:10">
      <c r="A62" s="26"/>
      <c r="B62" s="27"/>
      <c r="C62" s="27"/>
      <c r="D62" s="28"/>
      <c r="E62" s="29"/>
      <c r="F62" s="29"/>
      <c r="G62" s="30"/>
      <c r="H62" s="31"/>
      <c r="I62" s="28"/>
      <c r="J62" s="28"/>
    </row>
    <row r="63" spans="1:10">
      <c r="A63" s="32"/>
      <c r="B63" s="5"/>
      <c r="C63" s="5"/>
      <c r="D63" s="33"/>
      <c r="E63" s="34"/>
      <c r="F63" s="34"/>
      <c r="G63" s="30"/>
      <c r="H63" s="31"/>
      <c r="I63" s="33"/>
      <c r="J63" s="33"/>
    </row>
    <row r="64" spans="1:10" ht="16.5">
      <c r="A64" s="39"/>
      <c r="B64" s="40"/>
      <c r="C64" s="15"/>
      <c r="D64" s="7"/>
      <c r="E64" s="18"/>
      <c r="F64" s="18"/>
      <c r="G64" s="41"/>
      <c r="H64" s="42"/>
      <c r="I64" s="7"/>
      <c r="J64" s="43"/>
    </row>
    <row r="65" spans="1:10" ht="16.5">
      <c r="A65" s="39"/>
      <c r="B65" s="40"/>
      <c r="C65" s="15"/>
      <c r="D65" s="7"/>
      <c r="E65" s="18"/>
      <c r="F65" s="18"/>
      <c r="G65" s="41"/>
      <c r="H65" s="42"/>
      <c r="I65" s="7"/>
      <c r="J65" s="43"/>
    </row>
    <row r="66" spans="1:10" ht="16.5">
      <c r="A66" s="39"/>
      <c r="B66" s="40"/>
      <c r="C66" s="15"/>
      <c r="D66" s="7"/>
      <c r="E66" s="18"/>
      <c r="F66" s="18"/>
      <c r="G66" s="41"/>
      <c r="H66" s="42"/>
      <c r="I66" s="7"/>
      <c r="J66" s="43"/>
    </row>
    <row r="67" spans="1:10" ht="16.5">
      <c r="A67" s="39"/>
      <c r="B67" s="40"/>
      <c r="C67" s="15"/>
      <c r="D67" s="7"/>
      <c r="E67" s="18"/>
      <c r="F67" s="18"/>
      <c r="G67" s="41"/>
      <c r="H67" s="42"/>
      <c r="I67" s="7"/>
      <c r="J67" s="43"/>
    </row>
    <row r="68" spans="1:10" ht="16.5">
      <c r="A68" s="39"/>
      <c r="B68" s="40"/>
      <c r="C68" s="15"/>
      <c r="D68" s="7"/>
      <c r="E68" s="18"/>
      <c r="F68" s="18"/>
      <c r="G68" s="41"/>
      <c r="H68" s="42"/>
      <c r="I68" s="7"/>
      <c r="J68" s="43"/>
    </row>
    <row r="69" spans="1:10" ht="16.5">
      <c r="A69" s="39"/>
      <c r="B69" s="40"/>
      <c r="C69" s="15"/>
      <c r="D69" s="7"/>
      <c r="E69" s="18"/>
      <c r="F69" s="18"/>
      <c r="G69" s="41"/>
      <c r="H69" s="42"/>
      <c r="I69" s="7"/>
      <c r="J69" s="43"/>
    </row>
    <row r="70" spans="1:10" ht="16.5">
      <c r="A70" s="39"/>
      <c r="B70" s="40"/>
      <c r="C70" s="15"/>
      <c r="D70" s="7"/>
      <c r="E70" s="18"/>
      <c r="F70" s="18"/>
      <c r="G70" s="41"/>
      <c r="H70" s="42"/>
      <c r="I70" s="7"/>
      <c r="J70" s="43"/>
    </row>
    <row r="71" spans="1:10" ht="16.5">
      <c r="A71" s="39"/>
      <c r="B71" s="40"/>
      <c r="C71" s="15"/>
      <c r="D71" s="7"/>
      <c r="E71" s="18"/>
      <c r="F71" s="18"/>
      <c r="G71" s="41"/>
      <c r="H71" s="42"/>
      <c r="I71" s="7"/>
      <c r="J71" s="43"/>
    </row>
    <row r="72" spans="1:10" ht="16.5">
      <c r="A72" s="39"/>
      <c r="B72" s="40"/>
      <c r="C72" s="15"/>
      <c r="D72" s="7"/>
      <c r="E72" s="18"/>
      <c r="F72" s="18"/>
      <c r="G72" s="41"/>
      <c r="H72" s="42"/>
      <c r="I72" s="7"/>
      <c r="J72" s="43"/>
    </row>
    <row r="73" spans="1:10" ht="16.5">
      <c r="A73" s="39"/>
      <c r="B73" s="40"/>
      <c r="C73" s="15"/>
      <c r="D73" s="7"/>
      <c r="E73" s="18"/>
      <c r="F73" s="18"/>
      <c r="G73" s="41"/>
      <c r="H73" s="42"/>
      <c r="I73" s="7"/>
      <c r="J73" s="43"/>
    </row>
    <row r="74" spans="1:10" ht="16.5">
      <c r="A74" s="39"/>
      <c r="B74" s="40"/>
      <c r="C74" s="15"/>
      <c r="D74" s="7"/>
      <c r="E74" s="18"/>
      <c r="F74" s="18"/>
      <c r="G74" s="41"/>
      <c r="H74" s="42"/>
      <c r="I74" s="7"/>
      <c r="J74" s="43"/>
    </row>
    <row r="75" spans="1:10" ht="16.5">
      <c r="A75" s="39"/>
      <c r="B75" s="40"/>
      <c r="C75" s="15"/>
      <c r="D75" s="7"/>
      <c r="E75" s="18"/>
      <c r="F75" s="18"/>
      <c r="G75" s="41"/>
      <c r="H75" s="42"/>
      <c r="I75" s="7"/>
      <c r="J75" s="43"/>
    </row>
    <row r="76" spans="1:10" ht="16.5">
      <c r="A76" s="39"/>
      <c r="B76" s="40"/>
      <c r="C76" s="15"/>
      <c r="D76" s="7"/>
      <c r="E76" s="18"/>
      <c r="F76" s="18"/>
      <c r="G76" s="41"/>
      <c r="H76" s="42"/>
      <c r="I76" s="7"/>
      <c r="J76" s="43"/>
    </row>
    <row r="77" spans="1:10" ht="16.5">
      <c r="A77" s="39"/>
      <c r="B77" s="40"/>
      <c r="C77" s="15"/>
      <c r="D77" s="7"/>
      <c r="E77" s="18"/>
      <c r="F77" s="18"/>
      <c r="G77" s="41"/>
      <c r="H77" s="42"/>
      <c r="I77" s="7"/>
      <c r="J77" s="43"/>
    </row>
  </sheetData>
  <phoneticPr fontId="2" type="noConversion"/>
  <conditionalFormatting sqref="G9:G64">
    <cfRule type="expression" dxfId="16" priority="2">
      <formula>$G9="완료"</formula>
    </cfRule>
    <cfRule type="expression" dxfId="15" priority="3">
      <formula>$G9="진행중"</formula>
    </cfRule>
    <cfRule type="expression" dxfId="14" priority="4">
      <formula>$G9="검토중"</formula>
    </cfRule>
    <cfRule type="expression" dxfId="13" priority="5">
      <formula>$G9="예정"</formula>
    </cfRule>
    <cfRule type="expression" dxfId="12" priority="6">
      <formula>$G9="미확인"</formula>
    </cfRule>
    <cfRule type="expression" dxfId="11" priority="7">
      <formula>$G9="보류"</formula>
    </cfRule>
    <cfRule type="expression" dxfId="10" priority="8">
      <formula>$G9="제외"</formula>
    </cfRule>
  </conditionalFormatting>
  <conditionalFormatting sqref="G65:G77">
    <cfRule type="containsText" dxfId="9" priority="10" operator="containsText" text="완료">
      <formula>NOT(ISERROR(SEARCH("완료",G65)))</formula>
    </cfRule>
    <cfRule type="containsText" dxfId="8" priority="11" operator="containsText" text="미확인">
      <formula>NOT(ISERROR(SEARCH("미확인",G65)))</formula>
    </cfRule>
    <cfRule type="containsText" dxfId="7" priority="12" operator="containsText" text="예정">
      <formula>NOT(ISERROR(SEARCH("예정",G65)))</formula>
    </cfRule>
  </conditionalFormatting>
  <conditionalFormatting sqref="J9:J64">
    <cfRule type="expression" dxfId="6" priority="9">
      <formula>AND($J9&lt;&gt;"",$J9&lt;&gt;"완료 확인")</formula>
    </cfRule>
  </conditionalFormatting>
  <dataValidations count="3">
    <dataValidation type="list" sqref="D9:D77" xr:uid="{00000000-0002-0000-0100-000000000000}">
      <formula1>"김동혁,김동민,서종원,오준탁,최수인"</formula1>
      <formula2>0</formula2>
    </dataValidation>
    <dataValidation type="list" sqref="G9:G77" xr:uid="{00000000-0002-0000-0100-000001000000}">
      <formula1>"미확인,예정,진행중,검토중,완료,보류,제외,조건대기"</formula1>
      <formula2>0</formula2>
    </dataValidation>
    <dataValidation type="decimal" sqref="H9:H77" xr:uid="{00000000-0002-0000-0100-000002000000}">
      <formula1>0</formula1>
      <formula2>1</formula2>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3B5C3"/>
  </sheetPr>
  <dimension ref="A1:S77"/>
  <sheetViews>
    <sheetView showGridLines="0" workbookViewId="0">
      <pane xSplit="3" ySplit="8" topLeftCell="D9" activePane="bottomRight" state="frozen"/>
      <selection pane="topRight"/>
      <selection pane="bottomLeft"/>
      <selection pane="bottomRight" activeCell="D9" sqref="D9"/>
    </sheetView>
  </sheetViews>
  <sheetFormatPr defaultColWidth="8.7109375" defaultRowHeight="15"/>
  <cols>
    <col min="1" max="1" width="7.7109375" customWidth="1"/>
    <col min="2" max="2" width="42" customWidth="1"/>
    <col min="3" max="3" width="9.7109375" customWidth="1"/>
    <col min="4" max="19" width="3.85546875" customWidth="1"/>
  </cols>
  <sheetData>
    <row r="1" spans="1:19" ht="16.5">
      <c r="A1" s="1"/>
      <c r="B1" s="1"/>
      <c r="C1" s="1"/>
      <c r="D1" s="1"/>
      <c r="E1" s="1"/>
      <c r="F1" s="1"/>
      <c r="G1" s="1"/>
      <c r="H1" s="1"/>
      <c r="I1" s="1"/>
      <c r="J1" s="1"/>
      <c r="K1" s="1"/>
      <c r="L1" s="1"/>
      <c r="M1" s="1"/>
      <c r="N1" s="1"/>
      <c r="O1" s="1"/>
      <c r="P1" s="1"/>
      <c r="Q1" s="1"/>
      <c r="R1" s="1"/>
      <c r="S1" s="1"/>
    </row>
    <row r="2" spans="1:19" ht="183.75">
      <c r="A2" s="2" t="s">
        <v>193</v>
      </c>
      <c r="B2" s="1"/>
      <c r="C2" s="1"/>
      <c r="D2" s="1"/>
      <c r="E2" s="1"/>
      <c r="F2" s="1"/>
      <c r="G2" s="1"/>
      <c r="H2" s="1"/>
      <c r="I2" s="1"/>
      <c r="J2" s="1"/>
      <c r="K2" s="1"/>
      <c r="L2" s="1"/>
      <c r="M2" s="1"/>
      <c r="N2" s="1"/>
      <c r="O2" s="1"/>
      <c r="P2" s="1"/>
      <c r="Q2" s="1"/>
      <c r="R2" s="1"/>
      <c r="S2" s="1"/>
    </row>
    <row r="3" spans="1:19" ht="16.5">
      <c r="A3" s="3"/>
      <c r="B3" s="3"/>
      <c r="C3" s="3"/>
      <c r="D3" s="3"/>
      <c r="E3" s="3"/>
      <c r="F3" s="3"/>
      <c r="G3" s="3"/>
      <c r="H3" s="3"/>
      <c r="I3" s="3"/>
      <c r="J3" s="3"/>
      <c r="K3" s="3"/>
      <c r="L3" s="3"/>
      <c r="M3" s="3"/>
      <c r="N3" s="3"/>
      <c r="O3" s="3"/>
      <c r="P3" s="3"/>
      <c r="Q3" s="3"/>
      <c r="R3" s="3"/>
      <c r="S3" s="3"/>
    </row>
    <row r="4" spans="1:19" ht="162">
      <c r="A4" s="19" t="s">
        <v>45</v>
      </c>
      <c r="B4" s="1"/>
      <c r="C4" s="1"/>
      <c r="D4" s="1"/>
      <c r="E4" s="1"/>
      <c r="F4" s="1"/>
      <c r="G4" s="1"/>
      <c r="H4" s="1"/>
      <c r="I4" s="1"/>
      <c r="J4" s="1"/>
      <c r="K4" s="1"/>
      <c r="L4" s="1"/>
      <c r="M4" s="1"/>
      <c r="N4" s="1"/>
      <c r="O4" s="1"/>
      <c r="P4" s="1"/>
      <c r="Q4" s="1"/>
      <c r="R4" s="1"/>
      <c r="S4" s="1"/>
    </row>
    <row r="5" spans="1:19" ht="162">
      <c r="A5" s="19" t="s">
        <v>46</v>
      </c>
      <c r="B5" s="1"/>
      <c r="C5" s="1"/>
      <c r="D5" s="1"/>
      <c r="E5" s="1"/>
      <c r="F5" s="1"/>
      <c r="G5" s="1"/>
      <c r="H5" s="1"/>
      <c r="I5" s="1"/>
      <c r="J5" s="1"/>
      <c r="K5" s="1"/>
      <c r="L5" s="1"/>
      <c r="M5" s="1"/>
      <c r="N5" s="1"/>
      <c r="O5" s="1"/>
      <c r="P5" s="1"/>
      <c r="Q5" s="1"/>
      <c r="R5" s="1"/>
      <c r="S5" s="1"/>
    </row>
    <row r="6" spans="1:19" ht="162">
      <c r="A6" s="19" t="s">
        <v>47</v>
      </c>
      <c r="B6" s="1"/>
      <c r="C6" s="1"/>
      <c r="D6" s="1"/>
      <c r="E6" s="1"/>
      <c r="F6" s="1"/>
      <c r="G6" s="1"/>
      <c r="H6" s="1"/>
      <c r="I6" s="1"/>
      <c r="J6" s="1"/>
      <c r="K6" s="1"/>
      <c r="L6" s="1"/>
      <c r="M6" s="1"/>
      <c r="N6" s="1"/>
      <c r="O6" s="1"/>
      <c r="P6" s="1"/>
      <c r="Q6" s="1"/>
      <c r="R6" s="1"/>
      <c r="S6" s="1"/>
    </row>
    <row r="7" spans="1:19" ht="27">
      <c r="A7" s="1"/>
      <c r="B7" s="1"/>
      <c r="C7" s="1"/>
      <c r="D7" s="44" t="s">
        <v>48</v>
      </c>
      <c r="E7" s="44"/>
      <c r="F7" s="44"/>
      <c r="G7" s="44"/>
      <c r="H7" s="44"/>
      <c r="I7" s="44"/>
      <c r="J7" s="44"/>
      <c r="K7" s="44"/>
      <c r="L7" s="44"/>
      <c r="M7" s="44"/>
      <c r="N7" s="44"/>
      <c r="O7" s="44" t="s">
        <v>49</v>
      </c>
      <c r="P7" s="44"/>
      <c r="Q7" s="44"/>
      <c r="R7" s="44"/>
      <c r="S7" s="44"/>
    </row>
    <row r="8" spans="1:19" ht="16.5">
      <c r="A8" s="10" t="s">
        <v>39</v>
      </c>
      <c r="B8" s="11" t="s">
        <v>40</v>
      </c>
      <c r="C8" s="11" t="s">
        <v>50</v>
      </c>
      <c r="D8" s="45">
        <v>46316</v>
      </c>
      <c r="E8" s="45">
        <v>46317</v>
      </c>
      <c r="F8" s="45">
        <v>46318</v>
      </c>
      <c r="G8" s="46">
        <v>46319</v>
      </c>
      <c r="H8" s="46">
        <v>46320</v>
      </c>
      <c r="I8" s="45">
        <v>46321</v>
      </c>
      <c r="J8" s="45">
        <v>46322</v>
      </c>
      <c r="K8" s="45">
        <v>46323</v>
      </c>
      <c r="L8" s="45">
        <v>46324</v>
      </c>
      <c r="M8" s="45">
        <v>46325</v>
      </c>
      <c r="N8" s="46">
        <v>46326</v>
      </c>
      <c r="O8" s="46">
        <v>46327</v>
      </c>
      <c r="P8" s="45">
        <v>46328</v>
      </c>
      <c r="Q8" s="45">
        <v>46329</v>
      </c>
      <c r="R8" s="45">
        <v>46330</v>
      </c>
      <c r="S8" s="47">
        <v>46331</v>
      </c>
    </row>
    <row r="9" spans="1:19" ht="16.5">
      <c r="A9" s="48" t="s">
        <v>83</v>
      </c>
      <c r="B9" s="1" t="s">
        <v>84</v>
      </c>
      <c r="C9" s="1" t="s">
        <v>8</v>
      </c>
      <c r="D9" s="49" t="str">
        <f>IF(AND(D$8&gt;=INDEX('작업 관리'!$E$9:$E$61,MATCH($A9,'작업 관리'!$A$9:$A$61,0)),D$8&lt;=INDEX('작업 관리'!$F$9:$F$61,MATCH($A9,'작업 관리'!$A$9:$A$61,0))),1,"")</f>
        <v/>
      </c>
      <c r="E9" s="49">
        <f>IF(AND(E$8&gt;=INDEX('작업 관리'!$E$9:$E$61,MATCH($A9,'작업 관리'!$A$9:$A$61,0)),E$8&lt;=INDEX('작업 관리'!$F$9:$F$61,MATCH($A9,'작업 관리'!$A$9:$A$61,0))),1,"")</f>
        <v>1</v>
      </c>
      <c r="F9" s="49" t="str">
        <f>IF(AND(F$8&gt;=INDEX('작업 관리'!$E$9:$E$61,MATCH($A9,'작업 관리'!$A$9:$A$61,0)),F$8&lt;=INDEX('작업 관리'!$F$9:$F$61,MATCH($A9,'작업 관리'!$A$9:$A$61,0))),1,"")</f>
        <v/>
      </c>
      <c r="G9" s="50" t="str">
        <f>IF(AND(G$8&gt;=INDEX('작업 관리'!$E$9:$E$61,MATCH($A9,'작업 관리'!$A$9:$A$61,0)),G$8&lt;=INDEX('작업 관리'!$F$9:$F$61,MATCH($A9,'작업 관리'!$A$9:$A$61,0))),1,"")</f>
        <v/>
      </c>
      <c r="H9" s="50" t="str">
        <f>IF(AND(H$8&gt;=INDEX('작업 관리'!$E$9:$E$61,MATCH($A9,'작업 관리'!$A$9:$A$61,0)),H$8&lt;=INDEX('작업 관리'!$F$9:$F$61,MATCH($A9,'작업 관리'!$A$9:$A$61,0))),1,"")</f>
        <v/>
      </c>
      <c r="I9" s="49" t="str">
        <f>IF(AND(I$8&gt;=INDEX('작업 관리'!$E$9:$E$61,MATCH($A9,'작업 관리'!$A$9:$A$61,0)),I$8&lt;=INDEX('작업 관리'!$F$9:$F$61,MATCH($A9,'작업 관리'!$A$9:$A$61,0))),1,"")</f>
        <v/>
      </c>
      <c r="J9" s="49" t="str">
        <f>IF(AND(J$8&gt;=INDEX('작업 관리'!$E$9:$E$61,MATCH($A9,'작업 관리'!$A$9:$A$61,0)),J$8&lt;=INDEX('작업 관리'!$F$9:$F$61,MATCH($A9,'작업 관리'!$A$9:$A$61,0))),1,"")</f>
        <v/>
      </c>
      <c r="K9" s="49" t="str">
        <f>IF(AND(K$8&gt;=INDEX('작업 관리'!$E$9:$E$61,MATCH($A9,'작업 관리'!$A$9:$A$61,0)),K$8&lt;=INDEX('작업 관리'!$F$9:$F$61,MATCH($A9,'작업 관리'!$A$9:$A$61,0))),1,"")</f>
        <v/>
      </c>
      <c r="L9" s="49" t="str">
        <f>IF(AND(L$8&gt;=INDEX('작업 관리'!$E$9:$E$61,MATCH($A9,'작업 관리'!$A$9:$A$61,0)),L$8&lt;=INDEX('작업 관리'!$F$9:$F$61,MATCH($A9,'작업 관리'!$A$9:$A$61,0))),1,"")</f>
        <v/>
      </c>
      <c r="M9" s="49" t="str">
        <f>IF(AND(M$8&gt;=INDEX('작업 관리'!$E$9:$E$61,MATCH($A9,'작업 관리'!$A$9:$A$61,0)),M$8&lt;=INDEX('작업 관리'!$F$9:$F$61,MATCH($A9,'작업 관리'!$A$9:$A$61,0))),1,"")</f>
        <v/>
      </c>
      <c r="N9" s="50" t="str">
        <f>IF(AND(N$8&gt;=INDEX('작업 관리'!$E$9:$E$61,MATCH($A9,'작업 관리'!$A$9:$A$61,0)),N$8&lt;=INDEX('작업 관리'!$F$9:$F$61,MATCH($A9,'작업 관리'!$A$9:$A$61,0))),1,"")</f>
        <v/>
      </c>
      <c r="O9" s="50" t="str">
        <f>IF(AND(O$8&gt;=INDEX('작업 관리'!$E$9:$E$61,MATCH($A9,'작업 관리'!$A$9:$A$61,0)),O$8&lt;=INDEX('작업 관리'!$F$9:$F$61,MATCH($A9,'작업 관리'!$A$9:$A$61,0))),1,"")</f>
        <v/>
      </c>
      <c r="P9" s="49" t="str">
        <f>IF(AND(P$8&gt;=INDEX('작업 관리'!$E$9:$E$61,MATCH($A9,'작업 관리'!$A$9:$A$61,0)),P$8&lt;=INDEX('작업 관리'!$F$9:$F$61,MATCH($A9,'작업 관리'!$A$9:$A$61,0))),1,"")</f>
        <v/>
      </c>
      <c r="Q9" s="49" t="str">
        <f>IF(AND(Q$8&gt;=INDEX('작업 관리'!$E$9:$E$61,MATCH($A9,'작업 관리'!$A$9:$A$61,0)),Q$8&lt;=INDEX('작업 관리'!$F$9:$F$61,MATCH($A9,'작업 관리'!$A$9:$A$61,0))),1,"")</f>
        <v/>
      </c>
      <c r="R9" s="49" t="str">
        <f>IF(AND(R$8&gt;=INDEX('작업 관리'!$E$9:$E$61,MATCH($A9,'작업 관리'!$A$9:$A$61,0)),R$8&lt;=INDEX('작업 관리'!$F$9:$F$61,MATCH($A9,'작업 관리'!$A$9:$A$61,0))),1,"")</f>
        <v/>
      </c>
      <c r="S9" s="49" t="str">
        <f>IF(AND(S$8&gt;=INDEX('작업 관리'!$E$9:$E$61,MATCH($A9,'작업 관리'!$A$9:$A$61,0)),S$8&lt;=INDEX('작업 관리'!$F$9:$F$61,MATCH($A9,'작업 관리'!$A$9:$A$61,0))),1,"")</f>
        <v/>
      </c>
    </row>
    <row r="10" spans="1:19" ht="16.5">
      <c r="A10" s="39" t="s">
        <v>86</v>
      </c>
      <c r="B10" s="15" t="s">
        <v>87</v>
      </c>
      <c r="C10" s="15" t="s">
        <v>88</v>
      </c>
      <c r="D10" s="51" t="str">
        <f>IF(AND(D$8&gt;=INDEX('작업 관리'!$E$9:$E$61,MATCH($A10,'작업 관리'!$A$9:$A$61,0)),D$8&lt;=INDEX('작업 관리'!$F$9:$F$61,MATCH($A10,'작업 관리'!$A$9:$A$61,0))),1,"")</f>
        <v/>
      </c>
      <c r="E10" s="51">
        <f>IF(AND(E$8&gt;=INDEX('작업 관리'!$E$9:$E$61,MATCH($A10,'작업 관리'!$A$9:$A$61,0)),E$8&lt;=INDEX('작업 관리'!$F$9:$F$61,MATCH($A10,'작업 관리'!$A$9:$A$61,0))),1,"")</f>
        <v>1</v>
      </c>
      <c r="F10" s="51">
        <f>IF(AND(F$8&gt;=INDEX('작업 관리'!$E$9:$E$61,MATCH($A10,'작업 관리'!$A$9:$A$61,0)),F$8&lt;=INDEX('작업 관리'!$F$9:$F$61,MATCH($A10,'작업 관리'!$A$9:$A$61,0))),1,"")</f>
        <v>1</v>
      </c>
      <c r="G10" s="50" t="str">
        <f>IF(AND(G$8&gt;=INDEX('작업 관리'!$E$9:$E$61,MATCH($A10,'작업 관리'!$A$9:$A$61,0)),G$8&lt;=INDEX('작업 관리'!$F$9:$F$61,MATCH($A10,'작업 관리'!$A$9:$A$61,0))),1,"")</f>
        <v/>
      </c>
      <c r="H10" s="50" t="str">
        <f>IF(AND(H$8&gt;=INDEX('작업 관리'!$E$9:$E$61,MATCH($A10,'작업 관리'!$A$9:$A$61,0)),H$8&lt;=INDEX('작업 관리'!$F$9:$F$61,MATCH($A10,'작업 관리'!$A$9:$A$61,0))),1,"")</f>
        <v/>
      </c>
      <c r="I10" s="51" t="str">
        <f>IF(AND(I$8&gt;=INDEX('작업 관리'!$E$9:$E$61,MATCH($A10,'작업 관리'!$A$9:$A$61,0)),I$8&lt;=INDEX('작업 관리'!$F$9:$F$61,MATCH($A10,'작업 관리'!$A$9:$A$61,0))),1,"")</f>
        <v/>
      </c>
      <c r="J10" s="51" t="str">
        <f>IF(AND(J$8&gt;=INDEX('작업 관리'!$E$9:$E$61,MATCH($A10,'작업 관리'!$A$9:$A$61,0)),J$8&lt;=INDEX('작업 관리'!$F$9:$F$61,MATCH($A10,'작업 관리'!$A$9:$A$61,0))),1,"")</f>
        <v/>
      </c>
      <c r="K10" s="51" t="str">
        <f>IF(AND(K$8&gt;=INDEX('작업 관리'!$E$9:$E$61,MATCH($A10,'작업 관리'!$A$9:$A$61,0)),K$8&lt;=INDEX('작업 관리'!$F$9:$F$61,MATCH($A10,'작업 관리'!$A$9:$A$61,0))),1,"")</f>
        <v/>
      </c>
      <c r="L10" s="51" t="str">
        <f>IF(AND(L$8&gt;=INDEX('작업 관리'!$E$9:$E$61,MATCH($A10,'작업 관리'!$A$9:$A$61,0)),L$8&lt;=INDEX('작업 관리'!$F$9:$F$61,MATCH($A10,'작업 관리'!$A$9:$A$61,0))),1,"")</f>
        <v/>
      </c>
      <c r="M10" s="51" t="str">
        <f>IF(AND(M$8&gt;=INDEX('작업 관리'!$E$9:$E$61,MATCH($A10,'작업 관리'!$A$9:$A$61,0)),M$8&lt;=INDEX('작업 관리'!$F$9:$F$61,MATCH($A10,'작업 관리'!$A$9:$A$61,0))),1,"")</f>
        <v/>
      </c>
      <c r="N10" s="50" t="str">
        <f>IF(AND(N$8&gt;=INDEX('작업 관리'!$E$9:$E$61,MATCH($A10,'작업 관리'!$A$9:$A$61,0)),N$8&lt;=INDEX('작업 관리'!$F$9:$F$61,MATCH($A10,'작업 관리'!$A$9:$A$61,0))),1,"")</f>
        <v/>
      </c>
      <c r="O10" s="50" t="str">
        <f>IF(AND(O$8&gt;=INDEX('작업 관리'!$E$9:$E$61,MATCH($A10,'작업 관리'!$A$9:$A$61,0)),O$8&lt;=INDEX('작업 관리'!$F$9:$F$61,MATCH($A10,'작업 관리'!$A$9:$A$61,0))),1,"")</f>
        <v/>
      </c>
      <c r="P10" s="51" t="str">
        <f>IF(AND(P$8&gt;=INDEX('작업 관리'!$E$9:$E$61,MATCH($A10,'작업 관리'!$A$9:$A$61,0)),P$8&lt;=INDEX('작업 관리'!$F$9:$F$61,MATCH($A10,'작업 관리'!$A$9:$A$61,0))),1,"")</f>
        <v/>
      </c>
      <c r="Q10" s="51" t="str">
        <f>IF(AND(Q$8&gt;=INDEX('작업 관리'!$E$9:$E$61,MATCH($A10,'작업 관리'!$A$9:$A$61,0)),Q$8&lt;=INDEX('작업 관리'!$F$9:$F$61,MATCH($A10,'작업 관리'!$A$9:$A$61,0))),1,"")</f>
        <v/>
      </c>
      <c r="R10" s="51" t="str">
        <f>IF(AND(R$8&gt;=INDEX('작업 관리'!$E$9:$E$61,MATCH($A10,'작업 관리'!$A$9:$A$61,0)),R$8&lt;=INDEX('작업 관리'!$F$9:$F$61,MATCH($A10,'작업 관리'!$A$9:$A$61,0))),1,"")</f>
        <v/>
      </c>
      <c r="S10" s="51" t="str">
        <f>IF(AND(S$8&gt;=INDEX('작업 관리'!$E$9:$E$61,MATCH($A10,'작업 관리'!$A$9:$A$61,0)),S$8&lt;=INDEX('작업 관리'!$F$9:$F$61,MATCH($A10,'작업 관리'!$A$9:$A$61,0))),1,"")</f>
        <v/>
      </c>
    </row>
    <row r="11" spans="1:19" ht="16.5">
      <c r="A11" s="48" t="s">
        <v>89</v>
      </c>
      <c r="B11" s="1" t="s">
        <v>90</v>
      </c>
      <c r="C11" s="1" t="s">
        <v>91</v>
      </c>
      <c r="D11" s="49" t="str">
        <f>IF(AND(D$8&gt;=INDEX('작업 관리'!$E$9:$E$61,MATCH($A11,'작업 관리'!$A$9:$A$61,0)),D$8&lt;=INDEX('작업 관리'!$F$9:$F$61,MATCH($A11,'작업 관리'!$A$9:$A$61,0))),1,"")</f>
        <v/>
      </c>
      <c r="E11" s="49">
        <f>IF(AND(E$8&gt;=INDEX('작업 관리'!$E$9:$E$61,MATCH($A11,'작업 관리'!$A$9:$A$61,0)),E$8&lt;=INDEX('작업 관리'!$F$9:$F$61,MATCH($A11,'작업 관리'!$A$9:$A$61,0))),1,"")</f>
        <v>1</v>
      </c>
      <c r="F11" s="49">
        <f>IF(AND(F$8&gt;=INDEX('작업 관리'!$E$9:$E$61,MATCH($A11,'작업 관리'!$A$9:$A$61,0)),F$8&lt;=INDEX('작업 관리'!$F$9:$F$61,MATCH($A11,'작업 관리'!$A$9:$A$61,0))),1,"")</f>
        <v>1</v>
      </c>
      <c r="G11" s="50" t="str">
        <f>IF(AND(G$8&gt;=INDEX('작업 관리'!$E$9:$E$61,MATCH($A11,'작업 관리'!$A$9:$A$61,0)),G$8&lt;=INDEX('작업 관리'!$F$9:$F$61,MATCH($A11,'작업 관리'!$A$9:$A$61,0))),1,"")</f>
        <v/>
      </c>
      <c r="H11" s="50" t="str">
        <f>IF(AND(H$8&gt;=INDEX('작업 관리'!$E$9:$E$61,MATCH($A11,'작업 관리'!$A$9:$A$61,0)),H$8&lt;=INDEX('작업 관리'!$F$9:$F$61,MATCH($A11,'작업 관리'!$A$9:$A$61,0))),1,"")</f>
        <v/>
      </c>
      <c r="I11" s="49" t="str">
        <f>IF(AND(I$8&gt;=INDEX('작업 관리'!$E$9:$E$61,MATCH($A11,'작업 관리'!$A$9:$A$61,0)),I$8&lt;=INDEX('작업 관리'!$F$9:$F$61,MATCH($A11,'작업 관리'!$A$9:$A$61,0))),1,"")</f>
        <v/>
      </c>
      <c r="J11" s="49" t="str">
        <f>IF(AND(J$8&gt;=INDEX('작업 관리'!$E$9:$E$61,MATCH($A11,'작업 관리'!$A$9:$A$61,0)),J$8&lt;=INDEX('작업 관리'!$F$9:$F$61,MATCH($A11,'작업 관리'!$A$9:$A$61,0))),1,"")</f>
        <v/>
      </c>
      <c r="K11" s="49" t="str">
        <f>IF(AND(K$8&gt;=INDEX('작업 관리'!$E$9:$E$61,MATCH($A11,'작업 관리'!$A$9:$A$61,0)),K$8&lt;=INDEX('작업 관리'!$F$9:$F$61,MATCH($A11,'작업 관리'!$A$9:$A$61,0))),1,"")</f>
        <v/>
      </c>
      <c r="L11" s="49" t="str">
        <f>IF(AND(L$8&gt;=INDEX('작업 관리'!$E$9:$E$61,MATCH($A11,'작업 관리'!$A$9:$A$61,0)),L$8&lt;=INDEX('작업 관리'!$F$9:$F$61,MATCH($A11,'작업 관리'!$A$9:$A$61,0))),1,"")</f>
        <v/>
      </c>
      <c r="M11" s="49" t="str">
        <f>IF(AND(M$8&gt;=INDEX('작업 관리'!$E$9:$E$61,MATCH($A11,'작업 관리'!$A$9:$A$61,0)),M$8&lt;=INDEX('작업 관리'!$F$9:$F$61,MATCH($A11,'작업 관리'!$A$9:$A$61,0))),1,"")</f>
        <v/>
      </c>
      <c r="N11" s="50" t="str">
        <f>IF(AND(N$8&gt;=INDEX('작업 관리'!$E$9:$E$61,MATCH($A11,'작업 관리'!$A$9:$A$61,0)),N$8&lt;=INDEX('작업 관리'!$F$9:$F$61,MATCH($A11,'작업 관리'!$A$9:$A$61,0))),1,"")</f>
        <v/>
      </c>
      <c r="O11" s="50" t="str">
        <f>IF(AND(O$8&gt;=INDEX('작업 관리'!$E$9:$E$61,MATCH($A11,'작업 관리'!$A$9:$A$61,0)),O$8&lt;=INDEX('작업 관리'!$F$9:$F$61,MATCH($A11,'작업 관리'!$A$9:$A$61,0))),1,"")</f>
        <v/>
      </c>
      <c r="P11" s="49" t="str">
        <f>IF(AND(P$8&gt;=INDEX('작업 관리'!$E$9:$E$61,MATCH($A11,'작업 관리'!$A$9:$A$61,0)),P$8&lt;=INDEX('작업 관리'!$F$9:$F$61,MATCH($A11,'작업 관리'!$A$9:$A$61,0))),1,"")</f>
        <v/>
      </c>
      <c r="Q11" s="49" t="str">
        <f>IF(AND(Q$8&gt;=INDEX('작업 관리'!$E$9:$E$61,MATCH($A11,'작업 관리'!$A$9:$A$61,0)),Q$8&lt;=INDEX('작업 관리'!$F$9:$F$61,MATCH($A11,'작업 관리'!$A$9:$A$61,0))),1,"")</f>
        <v/>
      </c>
      <c r="R11" s="49" t="str">
        <f>IF(AND(R$8&gt;=INDEX('작업 관리'!$E$9:$E$61,MATCH($A11,'작업 관리'!$A$9:$A$61,0)),R$8&lt;=INDEX('작업 관리'!$F$9:$F$61,MATCH($A11,'작업 관리'!$A$9:$A$61,0))),1,"")</f>
        <v/>
      </c>
      <c r="S11" s="49" t="str">
        <f>IF(AND(S$8&gt;=INDEX('작업 관리'!$E$9:$E$61,MATCH($A11,'작업 관리'!$A$9:$A$61,0)),S$8&lt;=INDEX('작업 관리'!$F$9:$F$61,MATCH($A11,'작업 관리'!$A$9:$A$61,0))),1,"")</f>
        <v/>
      </c>
    </row>
    <row r="12" spans="1:19" ht="16.5">
      <c r="A12" s="39" t="s">
        <v>92</v>
      </c>
      <c r="B12" s="15" t="s">
        <v>93</v>
      </c>
      <c r="C12" s="15" t="s">
        <v>8</v>
      </c>
      <c r="D12" s="51" t="str">
        <f>IF(AND(D$8&gt;=INDEX('작업 관리'!$E$9:$E$61,MATCH($A12,'작업 관리'!$A$9:$A$61,0)),D$8&lt;=INDEX('작업 관리'!$F$9:$F$61,MATCH($A12,'작업 관리'!$A$9:$A$61,0))),1,"")</f>
        <v/>
      </c>
      <c r="E12" s="51">
        <f>IF(AND(E$8&gt;=INDEX('작업 관리'!$E$9:$E$61,MATCH($A12,'작업 관리'!$A$9:$A$61,0)),E$8&lt;=INDEX('작업 관리'!$F$9:$F$61,MATCH($A12,'작업 관리'!$A$9:$A$61,0))),1,"")</f>
        <v>1</v>
      </c>
      <c r="F12" s="51">
        <f>IF(AND(F$8&gt;=INDEX('작업 관리'!$E$9:$E$61,MATCH($A12,'작업 관리'!$A$9:$A$61,0)),F$8&lt;=INDEX('작업 관리'!$F$9:$F$61,MATCH($A12,'작업 관리'!$A$9:$A$61,0))),1,"")</f>
        <v>1</v>
      </c>
      <c r="G12" s="50" t="str">
        <f>IF(AND(G$8&gt;=INDEX('작업 관리'!$E$9:$E$61,MATCH($A12,'작업 관리'!$A$9:$A$61,0)),G$8&lt;=INDEX('작업 관리'!$F$9:$F$61,MATCH($A12,'작업 관리'!$A$9:$A$61,0))),1,"")</f>
        <v/>
      </c>
      <c r="H12" s="50" t="str">
        <f>IF(AND(H$8&gt;=INDEX('작업 관리'!$E$9:$E$61,MATCH($A12,'작업 관리'!$A$9:$A$61,0)),H$8&lt;=INDEX('작업 관리'!$F$9:$F$61,MATCH($A12,'작업 관리'!$A$9:$A$61,0))),1,"")</f>
        <v/>
      </c>
      <c r="I12" s="51" t="str">
        <f>IF(AND(I$8&gt;=INDEX('작업 관리'!$E$9:$E$61,MATCH($A12,'작업 관리'!$A$9:$A$61,0)),I$8&lt;=INDEX('작업 관리'!$F$9:$F$61,MATCH($A12,'작업 관리'!$A$9:$A$61,0))),1,"")</f>
        <v/>
      </c>
      <c r="J12" s="51" t="str">
        <f>IF(AND(J$8&gt;=INDEX('작업 관리'!$E$9:$E$61,MATCH($A12,'작업 관리'!$A$9:$A$61,0)),J$8&lt;=INDEX('작업 관리'!$F$9:$F$61,MATCH($A12,'작업 관리'!$A$9:$A$61,0))),1,"")</f>
        <v/>
      </c>
      <c r="K12" s="51" t="str">
        <f>IF(AND(K$8&gt;=INDEX('작업 관리'!$E$9:$E$61,MATCH($A12,'작업 관리'!$A$9:$A$61,0)),K$8&lt;=INDEX('작업 관리'!$F$9:$F$61,MATCH($A12,'작업 관리'!$A$9:$A$61,0))),1,"")</f>
        <v/>
      </c>
      <c r="L12" s="51" t="str">
        <f>IF(AND(L$8&gt;=INDEX('작업 관리'!$E$9:$E$61,MATCH($A12,'작업 관리'!$A$9:$A$61,0)),L$8&lt;=INDEX('작업 관리'!$F$9:$F$61,MATCH($A12,'작업 관리'!$A$9:$A$61,0))),1,"")</f>
        <v/>
      </c>
      <c r="M12" s="51" t="str">
        <f>IF(AND(M$8&gt;=INDEX('작업 관리'!$E$9:$E$61,MATCH($A12,'작업 관리'!$A$9:$A$61,0)),M$8&lt;=INDEX('작업 관리'!$F$9:$F$61,MATCH($A12,'작업 관리'!$A$9:$A$61,0))),1,"")</f>
        <v/>
      </c>
      <c r="N12" s="50" t="str">
        <f>IF(AND(N$8&gt;=INDEX('작업 관리'!$E$9:$E$61,MATCH($A12,'작업 관리'!$A$9:$A$61,0)),N$8&lt;=INDEX('작업 관리'!$F$9:$F$61,MATCH($A12,'작업 관리'!$A$9:$A$61,0))),1,"")</f>
        <v/>
      </c>
      <c r="O12" s="50" t="str">
        <f>IF(AND(O$8&gt;=INDEX('작업 관리'!$E$9:$E$61,MATCH($A12,'작업 관리'!$A$9:$A$61,0)),O$8&lt;=INDEX('작업 관리'!$F$9:$F$61,MATCH($A12,'작업 관리'!$A$9:$A$61,0))),1,"")</f>
        <v/>
      </c>
      <c r="P12" s="51" t="str">
        <f>IF(AND(P$8&gt;=INDEX('작업 관리'!$E$9:$E$61,MATCH($A12,'작업 관리'!$A$9:$A$61,0)),P$8&lt;=INDEX('작업 관리'!$F$9:$F$61,MATCH($A12,'작업 관리'!$A$9:$A$61,0))),1,"")</f>
        <v/>
      </c>
      <c r="Q12" s="51" t="str">
        <f>IF(AND(Q$8&gt;=INDEX('작업 관리'!$E$9:$E$61,MATCH($A12,'작업 관리'!$A$9:$A$61,0)),Q$8&lt;=INDEX('작업 관리'!$F$9:$F$61,MATCH($A12,'작업 관리'!$A$9:$A$61,0))),1,"")</f>
        <v/>
      </c>
      <c r="R12" s="51" t="str">
        <f>IF(AND(R$8&gt;=INDEX('작업 관리'!$E$9:$E$61,MATCH($A12,'작업 관리'!$A$9:$A$61,0)),R$8&lt;=INDEX('작업 관리'!$F$9:$F$61,MATCH($A12,'작업 관리'!$A$9:$A$61,0))),1,"")</f>
        <v/>
      </c>
      <c r="S12" s="51" t="str">
        <f>IF(AND(S$8&gt;=INDEX('작업 관리'!$E$9:$E$61,MATCH($A12,'작업 관리'!$A$9:$A$61,0)),S$8&lt;=INDEX('작업 관리'!$F$9:$F$61,MATCH($A12,'작업 관리'!$A$9:$A$61,0))),1,"")</f>
        <v/>
      </c>
    </row>
    <row r="13" spans="1:19" ht="16.5">
      <c r="A13" s="48" t="s">
        <v>94</v>
      </c>
      <c r="B13" s="1" t="s">
        <v>95</v>
      </c>
      <c r="C13" s="1" t="s">
        <v>91</v>
      </c>
      <c r="D13" s="49" t="str">
        <f>IF(AND(D$8&gt;=INDEX('작업 관리'!$E$9:$E$61,MATCH($A13,'작업 관리'!$A$9:$A$61,0)),D$8&lt;=INDEX('작업 관리'!$F$9:$F$61,MATCH($A13,'작업 관리'!$A$9:$A$61,0))),1,"")</f>
        <v/>
      </c>
      <c r="E13" s="49">
        <f>IF(AND(E$8&gt;=INDEX('작업 관리'!$E$9:$E$61,MATCH($A13,'작업 관리'!$A$9:$A$61,0)),E$8&lt;=INDEX('작업 관리'!$F$9:$F$61,MATCH($A13,'작업 관리'!$A$9:$A$61,0))),1,"")</f>
        <v>1</v>
      </c>
      <c r="F13" s="49">
        <f>IF(AND(F$8&gt;=INDEX('작업 관리'!$E$9:$E$61,MATCH($A13,'작업 관리'!$A$9:$A$61,0)),F$8&lt;=INDEX('작업 관리'!$F$9:$F$61,MATCH($A13,'작업 관리'!$A$9:$A$61,0))),1,"")</f>
        <v>1</v>
      </c>
      <c r="G13" s="50" t="str">
        <f>IF(AND(G$8&gt;=INDEX('작업 관리'!$E$9:$E$61,MATCH($A13,'작업 관리'!$A$9:$A$61,0)),G$8&lt;=INDEX('작업 관리'!$F$9:$F$61,MATCH($A13,'작업 관리'!$A$9:$A$61,0))),1,"")</f>
        <v/>
      </c>
      <c r="H13" s="50" t="str">
        <f>IF(AND(H$8&gt;=INDEX('작업 관리'!$E$9:$E$61,MATCH($A13,'작업 관리'!$A$9:$A$61,0)),H$8&lt;=INDEX('작업 관리'!$F$9:$F$61,MATCH($A13,'작업 관리'!$A$9:$A$61,0))),1,"")</f>
        <v/>
      </c>
      <c r="I13" s="49" t="str">
        <f>IF(AND(I$8&gt;=INDEX('작업 관리'!$E$9:$E$61,MATCH($A13,'작업 관리'!$A$9:$A$61,0)),I$8&lt;=INDEX('작업 관리'!$F$9:$F$61,MATCH($A13,'작업 관리'!$A$9:$A$61,0))),1,"")</f>
        <v/>
      </c>
      <c r="J13" s="49" t="str">
        <f>IF(AND(J$8&gt;=INDEX('작업 관리'!$E$9:$E$61,MATCH($A13,'작업 관리'!$A$9:$A$61,0)),J$8&lt;=INDEX('작업 관리'!$F$9:$F$61,MATCH($A13,'작업 관리'!$A$9:$A$61,0))),1,"")</f>
        <v/>
      </c>
      <c r="K13" s="49" t="str">
        <f>IF(AND(K$8&gt;=INDEX('작업 관리'!$E$9:$E$61,MATCH($A13,'작업 관리'!$A$9:$A$61,0)),K$8&lt;=INDEX('작업 관리'!$F$9:$F$61,MATCH($A13,'작업 관리'!$A$9:$A$61,0))),1,"")</f>
        <v/>
      </c>
      <c r="L13" s="49" t="str">
        <f>IF(AND(L$8&gt;=INDEX('작업 관리'!$E$9:$E$61,MATCH($A13,'작업 관리'!$A$9:$A$61,0)),L$8&lt;=INDEX('작업 관리'!$F$9:$F$61,MATCH($A13,'작업 관리'!$A$9:$A$61,0))),1,"")</f>
        <v/>
      </c>
      <c r="M13" s="49" t="str">
        <f>IF(AND(M$8&gt;=INDEX('작업 관리'!$E$9:$E$61,MATCH($A13,'작업 관리'!$A$9:$A$61,0)),M$8&lt;=INDEX('작업 관리'!$F$9:$F$61,MATCH($A13,'작업 관리'!$A$9:$A$61,0))),1,"")</f>
        <v/>
      </c>
      <c r="N13" s="50" t="str">
        <f>IF(AND(N$8&gt;=INDEX('작업 관리'!$E$9:$E$61,MATCH($A13,'작업 관리'!$A$9:$A$61,0)),N$8&lt;=INDEX('작업 관리'!$F$9:$F$61,MATCH($A13,'작업 관리'!$A$9:$A$61,0))),1,"")</f>
        <v/>
      </c>
      <c r="O13" s="50" t="str">
        <f>IF(AND(O$8&gt;=INDEX('작업 관리'!$E$9:$E$61,MATCH($A13,'작업 관리'!$A$9:$A$61,0)),O$8&lt;=INDEX('작업 관리'!$F$9:$F$61,MATCH($A13,'작업 관리'!$A$9:$A$61,0))),1,"")</f>
        <v/>
      </c>
      <c r="P13" s="49" t="str">
        <f>IF(AND(P$8&gt;=INDEX('작업 관리'!$E$9:$E$61,MATCH($A13,'작업 관리'!$A$9:$A$61,0)),P$8&lt;=INDEX('작업 관리'!$F$9:$F$61,MATCH($A13,'작업 관리'!$A$9:$A$61,0))),1,"")</f>
        <v/>
      </c>
      <c r="Q13" s="49" t="str">
        <f>IF(AND(Q$8&gt;=INDEX('작업 관리'!$E$9:$E$61,MATCH($A13,'작업 관리'!$A$9:$A$61,0)),Q$8&lt;=INDEX('작업 관리'!$F$9:$F$61,MATCH($A13,'작업 관리'!$A$9:$A$61,0))),1,"")</f>
        <v/>
      </c>
      <c r="R13" s="49" t="str">
        <f>IF(AND(R$8&gt;=INDEX('작업 관리'!$E$9:$E$61,MATCH($A13,'작업 관리'!$A$9:$A$61,0)),R$8&lt;=INDEX('작업 관리'!$F$9:$F$61,MATCH($A13,'작업 관리'!$A$9:$A$61,0))),1,"")</f>
        <v/>
      </c>
      <c r="S13" s="49" t="str">
        <f>IF(AND(S$8&gt;=INDEX('작업 관리'!$E$9:$E$61,MATCH($A13,'작업 관리'!$A$9:$A$61,0)),S$8&lt;=INDEX('작업 관리'!$F$9:$F$61,MATCH($A13,'작업 관리'!$A$9:$A$61,0))),1,"")</f>
        <v/>
      </c>
    </row>
    <row r="14" spans="1:19" ht="16.5">
      <c r="A14" s="39" t="s">
        <v>96</v>
      </c>
      <c r="B14" s="15" t="s">
        <v>97</v>
      </c>
      <c r="C14" s="15" t="s">
        <v>8</v>
      </c>
      <c r="D14" s="51" t="str">
        <f>IF(AND(D$8&gt;=INDEX('작업 관리'!$E$9:$E$61,MATCH($A14,'작업 관리'!$A$9:$A$61,0)),D$8&lt;=INDEX('작업 관리'!$F$9:$F$61,MATCH($A14,'작업 관리'!$A$9:$A$61,0))),1,"")</f>
        <v/>
      </c>
      <c r="E14" s="51" t="str">
        <f>IF(AND(E$8&gt;=INDEX('작업 관리'!$E$9:$E$61,MATCH($A14,'작업 관리'!$A$9:$A$61,0)),E$8&lt;=INDEX('작업 관리'!$F$9:$F$61,MATCH($A14,'작업 관리'!$A$9:$A$61,0))),1,"")</f>
        <v/>
      </c>
      <c r="F14" s="51">
        <f>IF(AND(F$8&gt;=INDEX('작업 관리'!$E$9:$E$61,MATCH($A14,'작업 관리'!$A$9:$A$61,0)),F$8&lt;=INDEX('작업 관리'!$F$9:$F$61,MATCH($A14,'작업 관리'!$A$9:$A$61,0))),1,"")</f>
        <v>1</v>
      </c>
      <c r="G14" s="50" t="str">
        <f>IF(AND(G$8&gt;=INDEX('작업 관리'!$E$9:$E$61,MATCH($A14,'작업 관리'!$A$9:$A$61,0)),G$8&lt;=INDEX('작업 관리'!$F$9:$F$61,MATCH($A14,'작업 관리'!$A$9:$A$61,0))),1,"")</f>
        <v/>
      </c>
      <c r="H14" s="50" t="str">
        <f>IF(AND(H$8&gt;=INDEX('작업 관리'!$E$9:$E$61,MATCH($A14,'작업 관리'!$A$9:$A$61,0)),H$8&lt;=INDEX('작업 관리'!$F$9:$F$61,MATCH($A14,'작업 관리'!$A$9:$A$61,0))),1,"")</f>
        <v/>
      </c>
      <c r="I14" s="51" t="str">
        <f>IF(AND(I$8&gt;=INDEX('작업 관리'!$E$9:$E$61,MATCH($A14,'작업 관리'!$A$9:$A$61,0)),I$8&lt;=INDEX('작업 관리'!$F$9:$F$61,MATCH($A14,'작업 관리'!$A$9:$A$61,0))),1,"")</f>
        <v/>
      </c>
      <c r="J14" s="51" t="str">
        <f>IF(AND(J$8&gt;=INDEX('작업 관리'!$E$9:$E$61,MATCH($A14,'작업 관리'!$A$9:$A$61,0)),J$8&lt;=INDEX('작업 관리'!$F$9:$F$61,MATCH($A14,'작업 관리'!$A$9:$A$61,0))),1,"")</f>
        <v/>
      </c>
      <c r="K14" s="51" t="str">
        <f>IF(AND(K$8&gt;=INDEX('작업 관리'!$E$9:$E$61,MATCH($A14,'작업 관리'!$A$9:$A$61,0)),K$8&lt;=INDEX('작업 관리'!$F$9:$F$61,MATCH($A14,'작업 관리'!$A$9:$A$61,0))),1,"")</f>
        <v/>
      </c>
      <c r="L14" s="51" t="str">
        <f>IF(AND(L$8&gt;=INDEX('작업 관리'!$E$9:$E$61,MATCH($A14,'작업 관리'!$A$9:$A$61,0)),L$8&lt;=INDEX('작업 관리'!$F$9:$F$61,MATCH($A14,'작업 관리'!$A$9:$A$61,0))),1,"")</f>
        <v/>
      </c>
      <c r="M14" s="51" t="str">
        <f>IF(AND(M$8&gt;=INDEX('작업 관리'!$E$9:$E$61,MATCH($A14,'작업 관리'!$A$9:$A$61,0)),M$8&lt;=INDEX('작업 관리'!$F$9:$F$61,MATCH($A14,'작업 관리'!$A$9:$A$61,0))),1,"")</f>
        <v/>
      </c>
      <c r="N14" s="50" t="str">
        <f>IF(AND(N$8&gt;=INDEX('작업 관리'!$E$9:$E$61,MATCH($A14,'작업 관리'!$A$9:$A$61,0)),N$8&lt;=INDEX('작업 관리'!$F$9:$F$61,MATCH($A14,'작업 관리'!$A$9:$A$61,0))),1,"")</f>
        <v/>
      </c>
      <c r="O14" s="50" t="str">
        <f>IF(AND(O$8&gt;=INDEX('작업 관리'!$E$9:$E$61,MATCH($A14,'작업 관리'!$A$9:$A$61,0)),O$8&lt;=INDEX('작업 관리'!$F$9:$F$61,MATCH($A14,'작업 관리'!$A$9:$A$61,0))),1,"")</f>
        <v/>
      </c>
      <c r="P14" s="51" t="str">
        <f>IF(AND(P$8&gt;=INDEX('작업 관리'!$E$9:$E$61,MATCH($A14,'작업 관리'!$A$9:$A$61,0)),P$8&lt;=INDEX('작업 관리'!$F$9:$F$61,MATCH($A14,'작업 관리'!$A$9:$A$61,0))),1,"")</f>
        <v/>
      </c>
      <c r="Q14" s="51" t="str">
        <f>IF(AND(Q$8&gt;=INDEX('작업 관리'!$E$9:$E$61,MATCH($A14,'작업 관리'!$A$9:$A$61,0)),Q$8&lt;=INDEX('작업 관리'!$F$9:$F$61,MATCH($A14,'작업 관리'!$A$9:$A$61,0))),1,"")</f>
        <v/>
      </c>
      <c r="R14" s="51" t="str">
        <f>IF(AND(R$8&gt;=INDEX('작업 관리'!$E$9:$E$61,MATCH($A14,'작업 관리'!$A$9:$A$61,0)),R$8&lt;=INDEX('작업 관리'!$F$9:$F$61,MATCH($A14,'작업 관리'!$A$9:$A$61,0))),1,"")</f>
        <v/>
      </c>
      <c r="S14" s="51" t="str">
        <f>IF(AND(S$8&gt;=INDEX('작업 관리'!$E$9:$E$61,MATCH($A14,'작업 관리'!$A$9:$A$61,0)),S$8&lt;=INDEX('작업 관리'!$F$9:$F$61,MATCH($A14,'작업 관리'!$A$9:$A$61,0))),1,"")</f>
        <v/>
      </c>
    </row>
    <row r="15" spans="1:19" ht="16.5">
      <c r="A15" s="48" t="s">
        <v>98</v>
      </c>
      <c r="B15" s="1" t="s">
        <v>99</v>
      </c>
      <c r="C15" s="1" t="s">
        <v>8</v>
      </c>
      <c r="D15" s="49" t="str">
        <f>IF(AND(D$8&gt;=INDEX('작업 관리'!$E$9:$E$61,MATCH($A15,'작업 관리'!$A$9:$A$61,0)),D$8&lt;=INDEX('작업 관리'!$F$9:$F$61,MATCH($A15,'작업 관리'!$A$9:$A$61,0))),1,"")</f>
        <v/>
      </c>
      <c r="E15" s="49" t="str">
        <f>IF(AND(E$8&gt;=INDEX('작업 관리'!$E$9:$E$61,MATCH($A15,'작업 관리'!$A$9:$A$61,0)),E$8&lt;=INDEX('작업 관리'!$F$9:$F$61,MATCH($A15,'작업 관리'!$A$9:$A$61,0))),1,"")</f>
        <v/>
      </c>
      <c r="F15" s="49" t="str">
        <f>IF(AND(F$8&gt;=INDEX('작업 관리'!$E$9:$E$61,MATCH($A15,'작업 관리'!$A$9:$A$61,0)),F$8&lt;=INDEX('작업 관리'!$F$9:$F$61,MATCH($A15,'작업 관리'!$A$9:$A$61,0))),1,"")</f>
        <v/>
      </c>
      <c r="G15" s="50">
        <f>IF(AND(G$8&gt;=INDEX('작업 관리'!$E$9:$E$61,MATCH($A15,'작업 관리'!$A$9:$A$61,0)),G$8&lt;=INDEX('작업 관리'!$F$9:$F$61,MATCH($A15,'작업 관리'!$A$9:$A$61,0))),1,"")</f>
        <v>1</v>
      </c>
      <c r="H15" s="50" t="str">
        <f>IF(AND(H$8&gt;=INDEX('작업 관리'!$E$9:$E$61,MATCH($A15,'작업 관리'!$A$9:$A$61,0)),H$8&lt;=INDEX('작업 관리'!$F$9:$F$61,MATCH($A15,'작업 관리'!$A$9:$A$61,0))),1,"")</f>
        <v/>
      </c>
      <c r="I15" s="49" t="str">
        <f>IF(AND(I$8&gt;=INDEX('작업 관리'!$E$9:$E$61,MATCH($A15,'작업 관리'!$A$9:$A$61,0)),I$8&lt;=INDEX('작업 관리'!$F$9:$F$61,MATCH($A15,'작업 관리'!$A$9:$A$61,0))),1,"")</f>
        <v/>
      </c>
      <c r="J15" s="49" t="str">
        <f>IF(AND(J$8&gt;=INDEX('작업 관리'!$E$9:$E$61,MATCH($A15,'작업 관리'!$A$9:$A$61,0)),J$8&lt;=INDEX('작업 관리'!$F$9:$F$61,MATCH($A15,'작업 관리'!$A$9:$A$61,0))),1,"")</f>
        <v/>
      </c>
      <c r="K15" s="49" t="str">
        <f>IF(AND(K$8&gt;=INDEX('작업 관리'!$E$9:$E$61,MATCH($A15,'작업 관리'!$A$9:$A$61,0)),K$8&lt;=INDEX('작업 관리'!$F$9:$F$61,MATCH($A15,'작업 관리'!$A$9:$A$61,0))),1,"")</f>
        <v/>
      </c>
      <c r="L15" s="49" t="str">
        <f>IF(AND(L$8&gt;=INDEX('작업 관리'!$E$9:$E$61,MATCH($A15,'작업 관리'!$A$9:$A$61,0)),L$8&lt;=INDEX('작업 관리'!$F$9:$F$61,MATCH($A15,'작업 관리'!$A$9:$A$61,0))),1,"")</f>
        <v/>
      </c>
      <c r="M15" s="49" t="str">
        <f>IF(AND(M$8&gt;=INDEX('작업 관리'!$E$9:$E$61,MATCH($A15,'작업 관리'!$A$9:$A$61,0)),M$8&lt;=INDEX('작업 관리'!$F$9:$F$61,MATCH($A15,'작업 관리'!$A$9:$A$61,0))),1,"")</f>
        <v/>
      </c>
      <c r="N15" s="50" t="str">
        <f>IF(AND(N$8&gt;=INDEX('작업 관리'!$E$9:$E$61,MATCH($A15,'작업 관리'!$A$9:$A$61,0)),N$8&lt;=INDEX('작업 관리'!$F$9:$F$61,MATCH($A15,'작업 관리'!$A$9:$A$61,0))),1,"")</f>
        <v/>
      </c>
      <c r="O15" s="50" t="str">
        <f>IF(AND(O$8&gt;=INDEX('작업 관리'!$E$9:$E$61,MATCH($A15,'작업 관리'!$A$9:$A$61,0)),O$8&lt;=INDEX('작업 관리'!$F$9:$F$61,MATCH($A15,'작업 관리'!$A$9:$A$61,0))),1,"")</f>
        <v/>
      </c>
      <c r="P15" s="49" t="str">
        <f>IF(AND(P$8&gt;=INDEX('작업 관리'!$E$9:$E$61,MATCH($A15,'작업 관리'!$A$9:$A$61,0)),P$8&lt;=INDEX('작업 관리'!$F$9:$F$61,MATCH($A15,'작업 관리'!$A$9:$A$61,0))),1,"")</f>
        <v/>
      </c>
      <c r="Q15" s="49" t="str">
        <f>IF(AND(Q$8&gt;=INDEX('작업 관리'!$E$9:$E$61,MATCH($A15,'작업 관리'!$A$9:$A$61,0)),Q$8&lt;=INDEX('작업 관리'!$F$9:$F$61,MATCH($A15,'작업 관리'!$A$9:$A$61,0))),1,"")</f>
        <v/>
      </c>
      <c r="R15" s="49" t="str">
        <f>IF(AND(R$8&gt;=INDEX('작업 관리'!$E$9:$E$61,MATCH($A15,'작업 관리'!$A$9:$A$61,0)),R$8&lt;=INDEX('작업 관리'!$F$9:$F$61,MATCH($A15,'작업 관리'!$A$9:$A$61,0))),1,"")</f>
        <v/>
      </c>
      <c r="S15" s="49" t="str">
        <f>IF(AND(S$8&gt;=INDEX('작업 관리'!$E$9:$E$61,MATCH($A15,'작업 관리'!$A$9:$A$61,0)),S$8&lt;=INDEX('작업 관리'!$F$9:$F$61,MATCH($A15,'작업 관리'!$A$9:$A$61,0))),1,"")</f>
        <v/>
      </c>
    </row>
    <row r="16" spans="1:19" ht="16.5">
      <c r="A16" s="39" t="s">
        <v>100</v>
      </c>
      <c r="B16" s="15" t="s">
        <v>101</v>
      </c>
      <c r="C16" s="15" t="s">
        <v>91</v>
      </c>
      <c r="D16" s="51" t="str">
        <f>IF(AND(D$8&gt;=INDEX('작업 관리'!$E$9:$E$61,MATCH($A16,'작업 관리'!$A$9:$A$61,0)),D$8&lt;=INDEX('작업 관리'!$F$9:$F$61,MATCH($A16,'작업 관리'!$A$9:$A$61,0))),1,"")</f>
        <v/>
      </c>
      <c r="E16" s="51" t="str">
        <f>IF(AND(E$8&gt;=INDEX('작업 관리'!$E$9:$E$61,MATCH($A16,'작업 관리'!$A$9:$A$61,0)),E$8&lt;=INDEX('작업 관리'!$F$9:$F$61,MATCH($A16,'작업 관리'!$A$9:$A$61,0))),1,"")</f>
        <v/>
      </c>
      <c r="F16" s="51" t="str">
        <f>IF(AND(F$8&gt;=INDEX('작업 관리'!$E$9:$E$61,MATCH($A16,'작업 관리'!$A$9:$A$61,0)),F$8&lt;=INDEX('작업 관리'!$F$9:$F$61,MATCH($A16,'작업 관리'!$A$9:$A$61,0))),1,"")</f>
        <v/>
      </c>
      <c r="G16" s="50">
        <f>IF(AND(G$8&gt;=INDEX('작업 관리'!$E$9:$E$61,MATCH($A16,'작업 관리'!$A$9:$A$61,0)),G$8&lt;=INDEX('작업 관리'!$F$9:$F$61,MATCH($A16,'작업 관리'!$A$9:$A$61,0))),1,"")</f>
        <v>1</v>
      </c>
      <c r="H16" s="50">
        <f>IF(AND(H$8&gt;=INDEX('작업 관리'!$E$9:$E$61,MATCH($A16,'작업 관리'!$A$9:$A$61,0)),H$8&lt;=INDEX('작업 관리'!$F$9:$F$61,MATCH($A16,'작업 관리'!$A$9:$A$61,0))),1,"")</f>
        <v>1</v>
      </c>
      <c r="I16" s="51">
        <f>IF(AND(I$8&gt;=INDEX('작업 관리'!$E$9:$E$61,MATCH($A16,'작업 관리'!$A$9:$A$61,0)),I$8&lt;=INDEX('작업 관리'!$F$9:$F$61,MATCH($A16,'작업 관리'!$A$9:$A$61,0))),1,"")</f>
        <v>1</v>
      </c>
      <c r="J16" s="51" t="str">
        <f>IF(AND(J$8&gt;=INDEX('작업 관리'!$E$9:$E$61,MATCH($A16,'작업 관리'!$A$9:$A$61,0)),J$8&lt;=INDEX('작업 관리'!$F$9:$F$61,MATCH($A16,'작업 관리'!$A$9:$A$61,0))),1,"")</f>
        <v/>
      </c>
      <c r="K16" s="51" t="str">
        <f>IF(AND(K$8&gt;=INDEX('작업 관리'!$E$9:$E$61,MATCH($A16,'작업 관리'!$A$9:$A$61,0)),K$8&lt;=INDEX('작업 관리'!$F$9:$F$61,MATCH($A16,'작업 관리'!$A$9:$A$61,0))),1,"")</f>
        <v/>
      </c>
      <c r="L16" s="51" t="str">
        <f>IF(AND(L$8&gt;=INDEX('작업 관리'!$E$9:$E$61,MATCH($A16,'작업 관리'!$A$9:$A$61,0)),L$8&lt;=INDEX('작업 관리'!$F$9:$F$61,MATCH($A16,'작업 관리'!$A$9:$A$61,0))),1,"")</f>
        <v/>
      </c>
      <c r="M16" s="51" t="str">
        <f>IF(AND(M$8&gt;=INDEX('작업 관리'!$E$9:$E$61,MATCH($A16,'작업 관리'!$A$9:$A$61,0)),M$8&lt;=INDEX('작업 관리'!$F$9:$F$61,MATCH($A16,'작업 관리'!$A$9:$A$61,0))),1,"")</f>
        <v/>
      </c>
      <c r="N16" s="50" t="str">
        <f>IF(AND(N$8&gt;=INDEX('작업 관리'!$E$9:$E$61,MATCH($A16,'작업 관리'!$A$9:$A$61,0)),N$8&lt;=INDEX('작업 관리'!$F$9:$F$61,MATCH($A16,'작업 관리'!$A$9:$A$61,0))),1,"")</f>
        <v/>
      </c>
      <c r="O16" s="50" t="str">
        <f>IF(AND(O$8&gt;=INDEX('작업 관리'!$E$9:$E$61,MATCH($A16,'작업 관리'!$A$9:$A$61,0)),O$8&lt;=INDEX('작업 관리'!$F$9:$F$61,MATCH($A16,'작업 관리'!$A$9:$A$61,0))),1,"")</f>
        <v/>
      </c>
      <c r="P16" s="51" t="str">
        <f>IF(AND(P$8&gt;=INDEX('작업 관리'!$E$9:$E$61,MATCH($A16,'작업 관리'!$A$9:$A$61,0)),P$8&lt;=INDEX('작업 관리'!$F$9:$F$61,MATCH($A16,'작업 관리'!$A$9:$A$61,0))),1,"")</f>
        <v/>
      </c>
      <c r="Q16" s="51" t="str">
        <f>IF(AND(Q$8&gt;=INDEX('작업 관리'!$E$9:$E$61,MATCH($A16,'작업 관리'!$A$9:$A$61,0)),Q$8&lt;=INDEX('작업 관리'!$F$9:$F$61,MATCH($A16,'작업 관리'!$A$9:$A$61,0))),1,"")</f>
        <v/>
      </c>
      <c r="R16" s="51" t="str">
        <f>IF(AND(R$8&gt;=INDEX('작업 관리'!$E$9:$E$61,MATCH($A16,'작업 관리'!$A$9:$A$61,0)),R$8&lt;=INDEX('작업 관리'!$F$9:$F$61,MATCH($A16,'작업 관리'!$A$9:$A$61,0))),1,"")</f>
        <v/>
      </c>
      <c r="S16" s="51" t="str">
        <f>IF(AND(S$8&gt;=INDEX('작업 관리'!$E$9:$E$61,MATCH($A16,'작업 관리'!$A$9:$A$61,0)),S$8&lt;=INDEX('작업 관리'!$F$9:$F$61,MATCH($A16,'작업 관리'!$A$9:$A$61,0))),1,"")</f>
        <v/>
      </c>
    </row>
    <row r="17" spans="1:19" ht="16.5">
      <c r="A17" s="48" t="s">
        <v>102</v>
      </c>
      <c r="B17" s="1" t="s">
        <v>103</v>
      </c>
      <c r="C17" s="1" t="s">
        <v>8</v>
      </c>
      <c r="D17" s="49" t="str">
        <f>IF(AND(D$8&gt;=INDEX('작업 관리'!$E$9:$E$61,MATCH($A17,'작업 관리'!$A$9:$A$61,0)),D$8&lt;=INDEX('작업 관리'!$F$9:$F$61,MATCH($A17,'작업 관리'!$A$9:$A$61,0))),1,"")</f>
        <v/>
      </c>
      <c r="E17" s="49" t="str">
        <f>IF(AND(E$8&gt;=INDEX('작업 관리'!$E$9:$E$61,MATCH($A17,'작업 관리'!$A$9:$A$61,0)),E$8&lt;=INDEX('작업 관리'!$F$9:$F$61,MATCH($A17,'작업 관리'!$A$9:$A$61,0))),1,"")</f>
        <v/>
      </c>
      <c r="F17" s="49">
        <f>IF(AND(F$8&gt;=INDEX('작업 관리'!$E$9:$E$61,MATCH($A17,'작업 관리'!$A$9:$A$61,0)),F$8&lt;=INDEX('작업 관리'!$F$9:$F$61,MATCH($A17,'작업 관리'!$A$9:$A$61,0))),1,"")</f>
        <v>1</v>
      </c>
      <c r="G17" s="50">
        <f>IF(AND(G$8&gt;=INDEX('작업 관리'!$E$9:$E$61,MATCH($A17,'작업 관리'!$A$9:$A$61,0)),G$8&lt;=INDEX('작업 관리'!$F$9:$F$61,MATCH($A17,'작업 관리'!$A$9:$A$61,0))),1,"")</f>
        <v>1</v>
      </c>
      <c r="H17" s="50" t="str">
        <f>IF(AND(H$8&gt;=INDEX('작업 관리'!$E$9:$E$61,MATCH($A17,'작업 관리'!$A$9:$A$61,0)),H$8&lt;=INDEX('작업 관리'!$F$9:$F$61,MATCH($A17,'작업 관리'!$A$9:$A$61,0))),1,"")</f>
        <v/>
      </c>
      <c r="I17" s="49" t="str">
        <f>IF(AND(I$8&gt;=INDEX('작업 관리'!$E$9:$E$61,MATCH($A17,'작업 관리'!$A$9:$A$61,0)),I$8&lt;=INDEX('작업 관리'!$F$9:$F$61,MATCH($A17,'작업 관리'!$A$9:$A$61,0))),1,"")</f>
        <v/>
      </c>
      <c r="J17" s="49" t="str">
        <f>IF(AND(J$8&gt;=INDEX('작업 관리'!$E$9:$E$61,MATCH($A17,'작업 관리'!$A$9:$A$61,0)),J$8&lt;=INDEX('작업 관리'!$F$9:$F$61,MATCH($A17,'작업 관리'!$A$9:$A$61,0))),1,"")</f>
        <v/>
      </c>
      <c r="K17" s="49" t="str">
        <f>IF(AND(K$8&gt;=INDEX('작업 관리'!$E$9:$E$61,MATCH($A17,'작업 관리'!$A$9:$A$61,0)),K$8&lt;=INDEX('작업 관리'!$F$9:$F$61,MATCH($A17,'작업 관리'!$A$9:$A$61,0))),1,"")</f>
        <v/>
      </c>
      <c r="L17" s="49" t="str">
        <f>IF(AND(L$8&gt;=INDEX('작업 관리'!$E$9:$E$61,MATCH($A17,'작업 관리'!$A$9:$A$61,0)),L$8&lt;=INDEX('작업 관리'!$F$9:$F$61,MATCH($A17,'작업 관리'!$A$9:$A$61,0))),1,"")</f>
        <v/>
      </c>
      <c r="M17" s="49" t="str">
        <f>IF(AND(M$8&gt;=INDEX('작업 관리'!$E$9:$E$61,MATCH($A17,'작업 관리'!$A$9:$A$61,0)),M$8&lt;=INDEX('작업 관리'!$F$9:$F$61,MATCH($A17,'작업 관리'!$A$9:$A$61,0))),1,"")</f>
        <v/>
      </c>
      <c r="N17" s="50" t="str">
        <f>IF(AND(N$8&gt;=INDEX('작업 관리'!$E$9:$E$61,MATCH($A17,'작업 관리'!$A$9:$A$61,0)),N$8&lt;=INDEX('작업 관리'!$F$9:$F$61,MATCH($A17,'작업 관리'!$A$9:$A$61,0))),1,"")</f>
        <v/>
      </c>
      <c r="O17" s="50" t="str">
        <f>IF(AND(O$8&gt;=INDEX('작업 관리'!$E$9:$E$61,MATCH($A17,'작업 관리'!$A$9:$A$61,0)),O$8&lt;=INDEX('작업 관리'!$F$9:$F$61,MATCH($A17,'작업 관리'!$A$9:$A$61,0))),1,"")</f>
        <v/>
      </c>
      <c r="P17" s="49" t="str">
        <f>IF(AND(P$8&gt;=INDEX('작업 관리'!$E$9:$E$61,MATCH($A17,'작업 관리'!$A$9:$A$61,0)),P$8&lt;=INDEX('작업 관리'!$F$9:$F$61,MATCH($A17,'작업 관리'!$A$9:$A$61,0))),1,"")</f>
        <v/>
      </c>
      <c r="Q17" s="49" t="str">
        <f>IF(AND(Q$8&gt;=INDEX('작업 관리'!$E$9:$E$61,MATCH($A17,'작업 관리'!$A$9:$A$61,0)),Q$8&lt;=INDEX('작업 관리'!$F$9:$F$61,MATCH($A17,'작업 관리'!$A$9:$A$61,0))),1,"")</f>
        <v/>
      </c>
      <c r="R17" s="49" t="str">
        <f>IF(AND(R$8&gt;=INDEX('작업 관리'!$E$9:$E$61,MATCH($A17,'작업 관리'!$A$9:$A$61,0)),R$8&lt;=INDEX('작업 관리'!$F$9:$F$61,MATCH($A17,'작업 관리'!$A$9:$A$61,0))),1,"")</f>
        <v/>
      </c>
      <c r="S17" s="49" t="str">
        <f>IF(AND(S$8&gt;=INDEX('작업 관리'!$E$9:$E$61,MATCH($A17,'작업 관리'!$A$9:$A$61,0)),S$8&lt;=INDEX('작업 관리'!$F$9:$F$61,MATCH($A17,'작업 관리'!$A$9:$A$61,0))),1,"")</f>
        <v/>
      </c>
    </row>
    <row r="18" spans="1:19" ht="16.5">
      <c r="A18" s="39" t="s">
        <v>104</v>
      </c>
      <c r="B18" s="15" t="s">
        <v>105</v>
      </c>
      <c r="C18" s="15" t="s">
        <v>8</v>
      </c>
      <c r="D18" s="51" t="str">
        <f>IF(AND(D$8&gt;=INDEX('작업 관리'!$E$9:$E$61,MATCH($A18,'작업 관리'!$A$9:$A$61,0)),D$8&lt;=INDEX('작업 관리'!$F$9:$F$61,MATCH($A18,'작업 관리'!$A$9:$A$61,0))),1,"")</f>
        <v/>
      </c>
      <c r="E18" s="51" t="str">
        <f>IF(AND(E$8&gt;=INDEX('작업 관리'!$E$9:$E$61,MATCH($A18,'작업 관리'!$A$9:$A$61,0)),E$8&lt;=INDEX('작업 관리'!$F$9:$F$61,MATCH($A18,'작업 관리'!$A$9:$A$61,0))),1,"")</f>
        <v/>
      </c>
      <c r="F18" s="51" t="str">
        <f>IF(AND(F$8&gt;=INDEX('작업 관리'!$E$9:$E$61,MATCH($A18,'작업 관리'!$A$9:$A$61,0)),F$8&lt;=INDEX('작업 관리'!$F$9:$F$61,MATCH($A18,'작업 관리'!$A$9:$A$61,0))),1,"")</f>
        <v/>
      </c>
      <c r="G18" s="50">
        <f>IF(AND(G$8&gt;=INDEX('작업 관리'!$E$9:$E$61,MATCH($A18,'작업 관리'!$A$9:$A$61,0)),G$8&lt;=INDEX('작업 관리'!$F$9:$F$61,MATCH($A18,'작업 관리'!$A$9:$A$61,0))),1,"")</f>
        <v>1</v>
      </c>
      <c r="H18" s="50">
        <f>IF(AND(H$8&gt;=INDEX('작업 관리'!$E$9:$E$61,MATCH($A18,'작업 관리'!$A$9:$A$61,0)),H$8&lt;=INDEX('작업 관리'!$F$9:$F$61,MATCH($A18,'작업 관리'!$A$9:$A$61,0))),1,"")</f>
        <v>1</v>
      </c>
      <c r="I18" s="51" t="str">
        <f>IF(AND(I$8&gt;=INDEX('작업 관리'!$E$9:$E$61,MATCH($A18,'작업 관리'!$A$9:$A$61,0)),I$8&lt;=INDEX('작업 관리'!$F$9:$F$61,MATCH($A18,'작업 관리'!$A$9:$A$61,0))),1,"")</f>
        <v/>
      </c>
      <c r="J18" s="51" t="str">
        <f>IF(AND(J$8&gt;=INDEX('작업 관리'!$E$9:$E$61,MATCH($A18,'작업 관리'!$A$9:$A$61,0)),J$8&lt;=INDEX('작업 관리'!$F$9:$F$61,MATCH($A18,'작업 관리'!$A$9:$A$61,0))),1,"")</f>
        <v/>
      </c>
      <c r="K18" s="51" t="str">
        <f>IF(AND(K$8&gt;=INDEX('작업 관리'!$E$9:$E$61,MATCH($A18,'작업 관리'!$A$9:$A$61,0)),K$8&lt;=INDEX('작업 관리'!$F$9:$F$61,MATCH($A18,'작업 관리'!$A$9:$A$61,0))),1,"")</f>
        <v/>
      </c>
      <c r="L18" s="51" t="str">
        <f>IF(AND(L$8&gt;=INDEX('작업 관리'!$E$9:$E$61,MATCH($A18,'작업 관리'!$A$9:$A$61,0)),L$8&lt;=INDEX('작업 관리'!$F$9:$F$61,MATCH($A18,'작업 관리'!$A$9:$A$61,0))),1,"")</f>
        <v/>
      </c>
      <c r="M18" s="51" t="str">
        <f>IF(AND(M$8&gt;=INDEX('작업 관리'!$E$9:$E$61,MATCH($A18,'작업 관리'!$A$9:$A$61,0)),M$8&lt;=INDEX('작업 관리'!$F$9:$F$61,MATCH($A18,'작업 관리'!$A$9:$A$61,0))),1,"")</f>
        <v/>
      </c>
      <c r="N18" s="50" t="str">
        <f>IF(AND(N$8&gt;=INDEX('작업 관리'!$E$9:$E$61,MATCH($A18,'작업 관리'!$A$9:$A$61,0)),N$8&lt;=INDEX('작업 관리'!$F$9:$F$61,MATCH($A18,'작업 관리'!$A$9:$A$61,0))),1,"")</f>
        <v/>
      </c>
      <c r="O18" s="50" t="str">
        <f>IF(AND(O$8&gt;=INDEX('작업 관리'!$E$9:$E$61,MATCH($A18,'작업 관리'!$A$9:$A$61,0)),O$8&lt;=INDEX('작업 관리'!$F$9:$F$61,MATCH($A18,'작업 관리'!$A$9:$A$61,0))),1,"")</f>
        <v/>
      </c>
      <c r="P18" s="51" t="str">
        <f>IF(AND(P$8&gt;=INDEX('작업 관리'!$E$9:$E$61,MATCH($A18,'작업 관리'!$A$9:$A$61,0)),P$8&lt;=INDEX('작업 관리'!$F$9:$F$61,MATCH($A18,'작업 관리'!$A$9:$A$61,0))),1,"")</f>
        <v/>
      </c>
      <c r="Q18" s="51" t="str">
        <f>IF(AND(Q$8&gt;=INDEX('작업 관리'!$E$9:$E$61,MATCH($A18,'작업 관리'!$A$9:$A$61,0)),Q$8&lt;=INDEX('작업 관리'!$F$9:$F$61,MATCH($A18,'작업 관리'!$A$9:$A$61,0))),1,"")</f>
        <v/>
      </c>
      <c r="R18" s="51" t="str">
        <f>IF(AND(R$8&gt;=INDEX('작업 관리'!$E$9:$E$61,MATCH($A18,'작업 관리'!$A$9:$A$61,0)),R$8&lt;=INDEX('작업 관리'!$F$9:$F$61,MATCH($A18,'작업 관리'!$A$9:$A$61,0))),1,"")</f>
        <v/>
      </c>
      <c r="S18" s="51" t="str">
        <f>IF(AND(S$8&gt;=INDEX('작업 관리'!$E$9:$E$61,MATCH($A18,'작업 관리'!$A$9:$A$61,0)),S$8&lt;=INDEX('작업 관리'!$F$9:$F$61,MATCH($A18,'작업 관리'!$A$9:$A$61,0))),1,"")</f>
        <v/>
      </c>
    </row>
    <row r="19" spans="1:19" ht="16.5">
      <c r="A19" s="48" t="s">
        <v>106</v>
      </c>
      <c r="B19" s="1" t="s">
        <v>107</v>
      </c>
      <c r="C19" s="1" t="s">
        <v>88</v>
      </c>
      <c r="D19" s="49" t="str">
        <f>IF(AND(D$8&gt;=INDEX('작업 관리'!$E$9:$E$61,MATCH($A19,'작업 관리'!$A$9:$A$61,0)),D$8&lt;=INDEX('작업 관리'!$F$9:$F$61,MATCH($A19,'작업 관리'!$A$9:$A$61,0))),1,"")</f>
        <v/>
      </c>
      <c r="E19" s="49" t="str">
        <f>IF(AND(E$8&gt;=INDEX('작업 관리'!$E$9:$E$61,MATCH($A19,'작업 관리'!$A$9:$A$61,0)),E$8&lt;=INDEX('작업 관리'!$F$9:$F$61,MATCH($A19,'작업 관리'!$A$9:$A$61,0))),1,"")</f>
        <v/>
      </c>
      <c r="F19" s="49" t="str">
        <f>IF(AND(F$8&gt;=INDEX('작업 관리'!$E$9:$E$61,MATCH($A19,'작업 관리'!$A$9:$A$61,0)),F$8&lt;=INDEX('작업 관리'!$F$9:$F$61,MATCH($A19,'작업 관리'!$A$9:$A$61,0))),1,"")</f>
        <v/>
      </c>
      <c r="G19" s="50">
        <f>IF(AND(G$8&gt;=INDEX('작업 관리'!$E$9:$E$61,MATCH($A19,'작업 관리'!$A$9:$A$61,0)),G$8&lt;=INDEX('작업 관리'!$F$9:$F$61,MATCH($A19,'작업 관리'!$A$9:$A$61,0))),1,"")</f>
        <v>1</v>
      </c>
      <c r="H19" s="50">
        <f>IF(AND(H$8&gt;=INDEX('작업 관리'!$E$9:$E$61,MATCH($A19,'작업 관리'!$A$9:$A$61,0)),H$8&lt;=INDEX('작업 관리'!$F$9:$F$61,MATCH($A19,'작업 관리'!$A$9:$A$61,0))),1,"")</f>
        <v>1</v>
      </c>
      <c r="I19" s="49" t="str">
        <f>IF(AND(I$8&gt;=INDEX('작업 관리'!$E$9:$E$61,MATCH($A19,'작업 관리'!$A$9:$A$61,0)),I$8&lt;=INDEX('작업 관리'!$F$9:$F$61,MATCH($A19,'작업 관리'!$A$9:$A$61,0))),1,"")</f>
        <v/>
      </c>
      <c r="J19" s="49" t="str">
        <f>IF(AND(J$8&gt;=INDEX('작업 관리'!$E$9:$E$61,MATCH($A19,'작업 관리'!$A$9:$A$61,0)),J$8&lt;=INDEX('작업 관리'!$F$9:$F$61,MATCH($A19,'작업 관리'!$A$9:$A$61,0))),1,"")</f>
        <v/>
      </c>
      <c r="K19" s="49" t="str">
        <f>IF(AND(K$8&gt;=INDEX('작업 관리'!$E$9:$E$61,MATCH($A19,'작업 관리'!$A$9:$A$61,0)),K$8&lt;=INDEX('작업 관리'!$F$9:$F$61,MATCH($A19,'작업 관리'!$A$9:$A$61,0))),1,"")</f>
        <v/>
      </c>
      <c r="L19" s="49" t="str">
        <f>IF(AND(L$8&gt;=INDEX('작업 관리'!$E$9:$E$61,MATCH($A19,'작업 관리'!$A$9:$A$61,0)),L$8&lt;=INDEX('작업 관리'!$F$9:$F$61,MATCH($A19,'작업 관리'!$A$9:$A$61,0))),1,"")</f>
        <v/>
      </c>
      <c r="M19" s="49" t="str">
        <f>IF(AND(M$8&gt;=INDEX('작업 관리'!$E$9:$E$61,MATCH($A19,'작업 관리'!$A$9:$A$61,0)),M$8&lt;=INDEX('작업 관리'!$F$9:$F$61,MATCH($A19,'작업 관리'!$A$9:$A$61,0))),1,"")</f>
        <v/>
      </c>
      <c r="N19" s="50" t="str">
        <f>IF(AND(N$8&gt;=INDEX('작업 관리'!$E$9:$E$61,MATCH($A19,'작업 관리'!$A$9:$A$61,0)),N$8&lt;=INDEX('작업 관리'!$F$9:$F$61,MATCH($A19,'작업 관리'!$A$9:$A$61,0))),1,"")</f>
        <v/>
      </c>
      <c r="O19" s="50" t="str">
        <f>IF(AND(O$8&gt;=INDEX('작업 관리'!$E$9:$E$61,MATCH($A19,'작업 관리'!$A$9:$A$61,0)),O$8&lt;=INDEX('작업 관리'!$F$9:$F$61,MATCH($A19,'작업 관리'!$A$9:$A$61,0))),1,"")</f>
        <v/>
      </c>
      <c r="P19" s="49" t="str">
        <f>IF(AND(P$8&gt;=INDEX('작업 관리'!$E$9:$E$61,MATCH($A19,'작업 관리'!$A$9:$A$61,0)),P$8&lt;=INDEX('작업 관리'!$F$9:$F$61,MATCH($A19,'작업 관리'!$A$9:$A$61,0))),1,"")</f>
        <v/>
      </c>
      <c r="Q19" s="49" t="str">
        <f>IF(AND(Q$8&gt;=INDEX('작업 관리'!$E$9:$E$61,MATCH($A19,'작업 관리'!$A$9:$A$61,0)),Q$8&lt;=INDEX('작업 관리'!$F$9:$F$61,MATCH($A19,'작업 관리'!$A$9:$A$61,0))),1,"")</f>
        <v/>
      </c>
      <c r="R19" s="49" t="str">
        <f>IF(AND(R$8&gt;=INDEX('작업 관리'!$E$9:$E$61,MATCH($A19,'작업 관리'!$A$9:$A$61,0)),R$8&lt;=INDEX('작업 관리'!$F$9:$F$61,MATCH($A19,'작업 관리'!$A$9:$A$61,0))),1,"")</f>
        <v/>
      </c>
      <c r="S19" s="49" t="str">
        <f>IF(AND(S$8&gt;=INDEX('작업 관리'!$E$9:$E$61,MATCH($A19,'작업 관리'!$A$9:$A$61,0)),S$8&lt;=INDEX('작업 관리'!$F$9:$F$61,MATCH($A19,'작업 관리'!$A$9:$A$61,0))),1,"")</f>
        <v/>
      </c>
    </row>
    <row r="20" spans="1:19" ht="16.5">
      <c r="A20" s="39" t="s">
        <v>108</v>
      </c>
      <c r="B20" s="15" t="s">
        <v>109</v>
      </c>
      <c r="C20" s="15" t="s">
        <v>8</v>
      </c>
      <c r="D20" s="51" t="str">
        <f>IF(AND(D$8&gt;=INDEX('작업 관리'!$E$9:$E$61,MATCH($A20,'작업 관리'!$A$9:$A$61,0)),D$8&lt;=INDEX('작업 관리'!$F$9:$F$61,MATCH($A20,'작업 관리'!$A$9:$A$61,0))),1,"")</f>
        <v/>
      </c>
      <c r="E20" s="51" t="str">
        <f>IF(AND(E$8&gt;=INDEX('작업 관리'!$E$9:$E$61,MATCH($A20,'작업 관리'!$A$9:$A$61,0)),E$8&lt;=INDEX('작업 관리'!$F$9:$F$61,MATCH($A20,'작업 관리'!$A$9:$A$61,0))),1,"")</f>
        <v/>
      </c>
      <c r="F20" s="51" t="str">
        <f>IF(AND(F$8&gt;=INDEX('작업 관리'!$E$9:$E$61,MATCH($A20,'작업 관리'!$A$9:$A$61,0)),F$8&lt;=INDEX('작업 관리'!$F$9:$F$61,MATCH($A20,'작업 관리'!$A$9:$A$61,0))),1,"")</f>
        <v/>
      </c>
      <c r="G20" s="50">
        <f>IF(AND(G$8&gt;=INDEX('작업 관리'!$E$9:$E$61,MATCH($A20,'작업 관리'!$A$9:$A$61,0)),G$8&lt;=INDEX('작업 관리'!$F$9:$F$61,MATCH($A20,'작업 관리'!$A$9:$A$61,0))),1,"")</f>
        <v>1</v>
      </c>
      <c r="H20" s="50">
        <f>IF(AND(H$8&gt;=INDEX('작업 관리'!$E$9:$E$61,MATCH($A20,'작업 관리'!$A$9:$A$61,0)),H$8&lt;=INDEX('작업 관리'!$F$9:$F$61,MATCH($A20,'작업 관리'!$A$9:$A$61,0))),1,"")</f>
        <v>1</v>
      </c>
      <c r="I20" s="51" t="str">
        <f>IF(AND(I$8&gt;=INDEX('작업 관리'!$E$9:$E$61,MATCH($A20,'작업 관리'!$A$9:$A$61,0)),I$8&lt;=INDEX('작업 관리'!$F$9:$F$61,MATCH($A20,'작업 관리'!$A$9:$A$61,0))),1,"")</f>
        <v/>
      </c>
      <c r="J20" s="51" t="str">
        <f>IF(AND(J$8&gt;=INDEX('작업 관리'!$E$9:$E$61,MATCH($A20,'작업 관리'!$A$9:$A$61,0)),J$8&lt;=INDEX('작업 관리'!$F$9:$F$61,MATCH($A20,'작업 관리'!$A$9:$A$61,0))),1,"")</f>
        <v/>
      </c>
      <c r="K20" s="51" t="str">
        <f>IF(AND(K$8&gt;=INDEX('작업 관리'!$E$9:$E$61,MATCH($A20,'작업 관리'!$A$9:$A$61,0)),K$8&lt;=INDEX('작업 관리'!$F$9:$F$61,MATCH($A20,'작업 관리'!$A$9:$A$61,0))),1,"")</f>
        <v/>
      </c>
      <c r="L20" s="51" t="str">
        <f>IF(AND(L$8&gt;=INDEX('작업 관리'!$E$9:$E$61,MATCH($A20,'작업 관리'!$A$9:$A$61,0)),L$8&lt;=INDEX('작업 관리'!$F$9:$F$61,MATCH($A20,'작업 관리'!$A$9:$A$61,0))),1,"")</f>
        <v/>
      </c>
      <c r="M20" s="51" t="str">
        <f>IF(AND(M$8&gt;=INDEX('작업 관리'!$E$9:$E$61,MATCH($A20,'작업 관리'!$A$9:$A$61,0)),M$8&lt;=INDEX('작업 관리'!$F$9:$F$61,MATCH($A20,'작업 관리'!$A$9:$A$61,0))),1,"")</f>
        <v/>
      </c>
      <c r="N20" s="50" t="str">
        <f>IF(AND(N$8&gt;=INDEX('작업 관리'!$E$9:$E$61,MATCH($A20,'작업 관리'!$A$9:$A$61,0)),N$8&lt;=INDEX('작업 관리'!$F$9:$F$61,MATCH($A20,'작업 관리'!$A$9:$A$61,0))),1,"")</f>
        <v/>
      </c>
      <c r="O20" s="50" t="str">
        <f>IF(AND(O$8&gt;=INDEX('작업 관리'!$E$9:$E$61,MATCH($A20,'작업 관리'!$A$9:$A$61,0)),O$8&lt;=INDEX('작업 관리'!$F$9:$F$61,MATCH($A20,'작업 관리'!$A$9:$A$61,0))),1,"")</f>
        <v/>
      </c>
      <c r="P20" s="51" t="str">
        <f>IF(AND(P$8&gt;=INDEX('작업 관리'!$E$9:$E$61,MATCH($A20,'작업 관리'!$A$9:$A$61,0)),P$8&lt;=INDEX('작업 관리'!$F$9:$F$61,MATCH($A20,'작업 관리'!$A$9:$A$61,0))),1,"")</f>
        <v/>
      </c>
      <c r="Q20" s="51" t="str">
        <f>IF(AND(Q$8&gt;=INDEX('작업 관리'!$E$9:$E$61,MATCH($A20,'작업 관리'!$A$9:$A$61,0)),Q$8&lt;=INDEX('작업 관리'!$F$9:$F$61,MATCH($A20,'작업 관리'!$A$9:$A$61,0))),1,"")</f>
        <v/>
      </c>
      <c r="R20" s="51" t="str">
        <f>IF(AND(R$8&gt;=INDEX('작업 관리'!$E$9:$E$61,MATCH($A20,'작업 관리'!$A$9:$A$61,0)),R$8&lt;=INDEX('작업 관리'!$F$9:$F$61,MATCH($A20,'작업 관리'!$A$9:$A$61,0))),1,"")</f>
        <v/>
      </c>
      <c r="S20" s="51" t="str">
        <f>IF(AND(S$8&gt;=INDEX('작업 관리'!$E$9:$E$61,MATCH($A20,'작업 관리'!$A$9:$A$61,0)),S$8&lt;=INDEX('작업 관리'!$F$9:$F$61,MATCH($A20,'작업 관리'!$A$9:$A$61,0))),1,"")</f>
        <v/>
      </c>
    </row>
    <row r="21" spans="1:19" ht="16.5">
      <c r="A21" s="48" t="s">
        <v>110</v>
      </c>
      <c r="B21" s="1" t="s">
        <v>111</v>
      </c>
      <c r="C21" s="1" t="s">
        <v>8</v>
      </c>
      <c r="D21" s="49" t="str">
        <f>IF(AND(D$8&gt;=INDEX('작업 관리'!$E$9:$E$61,MATCH($A21,'작업 관리'!$A$9:$A$61,0)),D$8&lt;=INDEX('작업 관리'!$F$9:$F$61,MATCH($A21,'작업 관리'!$A$9:$A$61,0))),1,"")</f>
        <v/>
      </c>
      <c r="E21" s="49" t="str">
        <f>IF(AND(E$8&gt;=INDEX('작업 관리'!$E$9:$E$61,MATCH($A21,'작업 관리'!$A$9:$A$61,0)),E$8&lt;=INDEX('작업 관리'!$F$9:$F$61,MATCH($A21,'작업 관리'!$A$9:$A$61,0))),1,"")</f>
        <v/>
      </c>
      <c r="F21" s="49" t="str">
        <f>IF(AND(F$8&gt;=INDEX('작업 관리'!$E$9:$E$61,MATCH($A21,'작업 관리'!$A$9:$A$61,0)),F$8&lt;=INDEX('작업 관리'!$F$9:$F$61,MATCH($A21,'작업 관리'!$A$9:$A$61,0))),1,"")</f>
        <v/>
      </c>
      <c r="G21" s="50" t="str">
        <f>IF(AND(G$8&gt;=INDEX('작업 관리'!$E$9:$E$61,MATCH($A21,'작업 관리'!$A$9:$A$61,0)),G$8&lt;=INDEX('작업 관리'!$F$9:$F$61,MATCH($A21,'작업 관리'!$A$9:$A$61,0))),1,"")</f>
        <v/>
      </c>
      <c r="H21" s="50">
        <f>IF(AND(H$8&gt;=INDEX('작업 관리'!$E$9:$E$61,MATCH($A21,'작업 관리'!$A$9:$A$61,0)),H$8&lt;=INDEX('작업 관리'!$F$9:$F$61,MATCH($A21,'작업 관리'!$A$9:$A$61,0))),1,"")</f>
        <v>1</v>
      </c>
      <c r="I21" s="49" t="str">
        <f>IF(AND(I$8&gt;=INDEX('작업 관리'!$E$9:$E$61,MATCH($A21,'작업 관리'!$A$9:$A$61,0)),I$8&lt;=INDEX('작업 관리'!$F$9:$F$61,MATCH($A21,'작업 관리'!$A$9:$A$61,0))),1,"")</f>
        <v/>
      </c>
      <c r="J21" s="49" t="str">
        <f>IF(AND(J$8&gt;=INDEX('작업 관리'!$E$9:$E$61,MATCH($A21,'작업 관리'!$A$9:$A$61,0)),J$8&lt;=INDEX('작업 관리'!$F$9:$F$61,MATCH($A21,'작업 관리'!$A$9:$A$61,0))),1,"")</f>
        <v/>
      </c>
      <c r="K21" s="49" t="str">
        <f>IF(AND(K$8&gt;=INDEX('작업 관리'!$E$9:$E$61,MATCH($A21,'작업 관리'!$A$9:$A$61,0)),K$8&lt;=INDEX('작업 관리'!$F$9:$F$61,MATCH($A21,'작업 관리'!$A$9:$A$61,0))),1,"")</f>
        <v/>
      </c>
      <c r="L21" s="49" t="str">
        <f>IF(AND(L$8&gt;=INDEX('작업 관리'!$E$9:$E$61,MATCH($A21,'작업 관리'!$A$9:$A$61,0)),L$8&lt;=INDEX('작업 관리'!$F$9:$F$61,MATCH($A21,'작업 관리'!$A$9:$A$61,0))),1,"")</f>
        <v/>
      </c>
      <c r="M21" s="49" t="str">
        <f>IF(AND(M$8&gt;=INDEX('작업 관리'!$E$9:$E$61,MATCH($A21,'작업 관리'!$A$9:$A$61,0)),M$8&lt;=INDEX('작업 관리'!$F$9:$F$61,MATCH($A21,'작업 관리'!$A$9:$A$61,0))),1,"")</f>
        <v/>
      </c>
      <c r="N21" s="50" t="str">
        <f>IF(AND(N$8&gt;=INDEX('작업 관리'!$E$9:$E$61,MATCH($A21,'작업 관리'!$A$9:$A$61,0)),N$8&lt;=INDEX('작업 관리'!$F$9:$F$61,MATCH($A21,'작업 관리'!$A$9:$A$61,0))),1,"")</f>
        <v/>
      </c>
      <c r="O21" s="50" t="str">
        <f>IF(AND(O$8&gt;=INDEX('작업 관리'!$E$9:$E$61,MATCH($A21,'작업 관리'!$A$9:$A$61,0)),O$8&lt;=INDEX('작업 관리'!$F$9:$F$61,MATCH($A21,'작업 관리'!$A$9:$A$61,0))),1,"")</f>
        <v/>
      </c>
      <c r="P21" s="49" t="str">
        <f>IF(AND(P$8&gt;=INDEX('작업 관리'!$E$9:$E$61,MATCH($A21,'작업 관리'!$A$9:$A$61,0)),P$8&lt;=INDEX('작업 관리'!$F$9:$F$61,MATCH($A21,'작업 관리'!$A$9:$A$61,0))),1,"")</f>
        <v/>
      </c>
      <c r="Q21" s="49" t="str">
        <f>IF(AND(Q$8&gt;=INDEX('작업 관리'!$E$9:$E$61,MATCH($A21,'작업 관리'!$A$9:$A$61,0)),Q$8&lt;=INDEX('작업 관리'!$F$9:$F$61,MATCH($A21,'작업 관리'!$A$9:$A$61,0))),1,"")</f>
        <v/>
      </c>
      <c r="R21" s="49" t="str">
        <f>IF(AND(R$8&gt;=INDEX('작업 관리'!$E$9:$E$61,MATCH($A21,'작업 관리'!$A$9:$A$61,0)),R$8&lt;=INDEX('작업 관리'!$F$9:$F$61,MATCH($A21,'작업 관리'!$A$9:$A$61,0))),1,"")</f>
        <v/>
      </c>
      <c r="S21" s="49" t="str">
        <f>IF(AND(S$8&gt;=INDEX('작업 관리'!$E$9:$E$61,MATCH($A21,'작업 관리'!$A$9:$A$61,0)),S$8&lt;=INDEX('작업 관리'!$F$9:$F$61,MATCH($A21,'작업 관리'!$A$9:$A$61,0))),1,"")</f>
        <v/>
      </c>
    </row>
    <row r="22" spans="1:19" ht="16.5">
      <c r="A22" s="39" t="s">
        <v>112</v>
      </c>
      <c r="B22" s="15" t="s">
        <v>113</v>
      </c>
      <c r="C22" s="15" t="s">
        <v>88</v>
      </c>
      <c r="D22" s="51" t="str">
        <f>IF(AND(D$8&gt;=INDEX('작업 관리'!$E$9:$E$61,MATCH($A22,'작업 관리'!$A$9:$A$61,0)),D$8&lt;=INDEX('작업 관리'!$F$9:$F$61,MATCH($A22,'작업 관리'!$A$9:$A$61,0))),1,"")</f>
        <v/>
      </c>
      <c r="E22" s="51" t="str">
        <f>IF(AND(E$8&gt;=INDEX('작업 관리'!$E$9:$E$61,MATCH($A22,'작업 관리'!$A$9:$A$61,0)),E$8&lt;=INDEX('작업 관리'!$F$9:$F$61,MATCH($A22,'작업 관리'!$A$9:$A$61,0))),1,"")</f>
        <v/>
      </c>
      <c r="F22" s="51" t="str">
        <f>IF(AND(F$8&gt;=INDEX('작업 관리'!$E$9:$E$61,MATCH($A22,'작업 관리'!$A$9:$A$61,0)),F$8&lt;=INDEX('작업 관리'!$F$9:$F$61,MATCH($A22,'작업 관리'!$A$9:$A$61,0))),1,"")</f>
        <v/>
      </c>
      <c r="G22" s="50" t="str">
        <f>IF(AND(G$8&gt;=INDEX('작업 관리'!$E$9:$E$61,MATCH($A22,'작업 관리'!$A$9:$A$61,0)),G$8&lt;=INDEX('작업 관리'!$F$9:$F$61,MATCH($A22,'작업 관리'!$A$9:$A$61,0))),1,"")</f>
        <v/>
      </c>
      <c r="H22" s="50">
        <f>IF(AND(H$8&gt;=INDEX('작업 관리'!$E$9:$E$61,MATCH($A22,'작업 관리'!$A$9:$A$61,0)),H$8&lt;=INDEX('작업 관리'!$F$9:$F$61,MATCH($A22,'작업 관리'!$A$9:$A$61,0))),1,"")</f>
        <v>1</v>
      </c>
      <c r="I22" s="51">
        <f>IF(AND(I$8&gt;=INDEX('작업 관리'!$E$9:$E$61,MATCH($A22,'작업 관리'!$A$9:$A$61,0)),I$8&lt;=INDEX('작업 관리'!$F$9:$F$61,MATCH($A22,'작업 관리'!$A$9:$A$61,0))),1,"")</f>
        <v>1</v>
      </c>
      <c r="J22" s="51" t="str">
        <f>IF(AND(J$8&gt;=INDEX('작업 관리'!$E$9:$E$61,MATCH($A22,'작업 관리'!$A$9:$A$61,0)),J$8&lt;=INDEX('작업 관리'!$F$9:$F$61,MATCH($A22,'작업 관리'!$A$9:$A$61,0))),1,"")</f>
        <v/>
      </c>
      <c r="K22" s="51" t="str">
        <f>IF(AND(K$8&gt;=INDEX('작업 관리'!$E$9:$E$61,MATCH($A22,'작업 관리'!$A$9:$A$61,0)),K$8&lt;=INDEX('작업 관리'!$F$9:$F$61,MATCH($A22,'작업 관리'!$A$9:$A$61,0))),1,"")</f>
        <v/>
      </c>
      <c r="L22" s="51" t="str">
        <f>IF(AND(L$8&gt;=INDEX('작업 관리'!$E$9:$E$61,MATCH($A22,'작업 관리'!$A$9:$A$61,0)),L$8&lt;=INDEX('작업 관리'!$F$9:$F$61,MATCH($A22,'작업 관리'!$A$9:$A$61,0))),1,"")</f>
        <v/>
      </c>
      <c r="M22" s="51" t="str">
        <f>IF(AND(M$8&gt;=INDEX('작업 관리'!$E$9:$E$61,MATCH($A22,'작업 관리'!$A$9:$A$61,0)),M$8&lt;=INDEX('작업 관리'!$F$9:$F$61,MATCH($A22,'작업 관리'!$A$9:$A$61,0))),1,"")</f>
        <v/>
      </c>
      <c r="N22" s="50" t="str">
        <f>IF(AND(N$8&gt;=INDEX('작업 관리'!$E$9:$E$61,MATCH($A22,'작업 관리'!$A$9:$A$61,0)),N$8&lt;=INDEX('작업 관리'!$F$9:$F$61,MATCH($A22,'작업 관리'!$A$9:$A$61,0))),1,"")</f>
        <v/>
      </c>
      <c r="O22" s="50" t="str">
        <f>IF(AND(O$8&gt;=INDEX('작업 관리'!$E$9:$E$61,MATCH($A22,'작업 관리'!$A$9:$A$61,0)),O$8&lt;=INDEX('작업 관리'!$F$9:$F$61,MATCH($A22,'작업 관리'!$A$9:$A$61,0))),1,"")</f>
        <v/>
      </c>
      <c r="P22" s="51" t="str">
        <f>IF(AND(P$8&gt;=INDEX('작업 관리'!$E$9:$E$61,MATCH($A22,'작업 관리'!$A$9:$A$61,0)),P$8&lt;=INDEX('작업 관리'!$F$9:$F$61,MATCH($A22,'작업 관리'!$A$9:$A$61,0))),1,"")</f>
        <v/>
      </c>
      <c r="Q22" s="51" t="str">
        <f>IF(AND(Q$8&gt;=INDEX('작업 관리'!$E$9:$E$61,MATCH($A22,'작업 관리'!$A$9:$A$61,0)),Q$8&lt;=INDEX('작업 관리'!$F$9:$F$61,MATCH($A22,'작업 관리'!$A$9:$A$61,0))),1,"")</f>
        <v/>
      </c>
      <c r="R22" s="51" t="str">
        <f>IF(AND(R$8&gt;=INDEX('작업 관리'!$E$9:$E$61,MATCH($A22,'작업 관리'!$A$9:$A$61,0)),R$8&lt;=INDEX('작업 관리'!$F$9:$F$61,MATCH($A22,'작업 관리'!$A$9:$A$61,0))),1,"")</f>
        <v/>
      </c>
      <c r="S22" s="51" t="str">
        <f>IF(AND(S$8&gt;=INDEX('작업 관리'!$E$9:$E$61,MATCH($A22,'작업 관리'!$A$9:$A$61,0)),S$8&lt;=INDEX('작업 관리'!$F$9:$F$61,MATCH($A22,'작업 관리'!$A$9:$A$61,0))),1,"")</f>
        <v/>
      </c>
    </row>
    <row r="23" spans="1:19" ht="16.5">
      <c r="A23" s="48" t="s">
        <v>114</v>
      </c>
      <c r="B23" s="1" t="s">
        <v>115</v>
      </c>
      <c r="C23" s="1" t="s">
        <v>8</v>
      </c>
      <c r="D23" s="49" t="str">
        <f>IF(AND(D$8&gt;=INDEX('작업 관리'!$E$9:$E$61,MATCH($A23,'작업 관리'!$A$9:$A$61,0)),D$8&lt;=INDEX('작업 관리'!$F$9:$F$61,MATCH($A23,'작업 관리'!$A$9:$A$61,0))),1,"")</f>
        <v/>
      </c>
      <c r="E23" s="49" t="str">
        <f>IF(AND(E$8&gt;=INDEX('작업 관리'!$E$9:$E$61,MATCH($A23,'작업 관리'!$A$9:$A$61,0)),E$8&lt;=INDEX('작업 관리'!$F$9:$F$61,MATCH($A23,'작업 관리'!$A$9:$A$61,0))),1,"")</f>
        <v/>
      </c>
      <c r="F23" s="49" t="str">
        <f>IF(AND(F$8&gt;=INDEX('작업 관리'!$E$9:$E$61,MATCH($A23,'작업 관리'!$A$9:$A$61,0)),F$8&lt;=INDEX('작업 관리'!$F$9:$F$61,MATCH($A23,'작업 관리'!$A$9:$A$61,0))),1,"")</f>
        <v/>
      </c>
      <c r="G23" s="50" t="str">
        <f>IF(AND(G$8&gt;=INDEX('작업 관리'!$E$9:$E$61,MATCH($A23,'작업 관리'!$A$9:$A$61,0)),G$8&lt;=INDEX('작업 관리'!$F$9:$F$61,MATCH($A23,'작업 관리'!$A$9:$A$61,0))),1,"")</f>
        <v/>
      </c>
      <c r="H23" s="50">
        <f>IF(AND(H$8&gt;=INDEX('작업 관리'!$E$9:$E$61,MATCH($A23,'작업 관리'!$A$9:$A$61,0)),H$8&lt;=INDEX('작업 관리'!$F$9:$F$61,MATCH($A23,'작업 관리'!$A$9:$A$61,0))),1,"")</f>
        <v>1</v>
      </c>
      <c r="I23" s="49">
        <f>IF(AND(I$8&gt;=INDEX('작업 관리'!$E$9:$E$61,MATCH($A23,'작업 관리'!$A$9:$A$61,0)),I$8&lt;=INDEX('작업 관리'!$F$9:$F$61,MATCH($A23,'작업 관리'!$A$9:$A$61,0))),1,"")</f>
        <v>1</v>
      </c>
      <c r="J23" s="49" t="str">
        <f>IF(AND(J$8&gt;=INDEX('작업 관리'!$E$9:$E$61,MATCH($A23,'작업 관리'!$A$9:$A$61,0)),J$8&lt;=INDEX('작업 관리'!$F$9:$F$61,MATCH($A23,'작업 관리'!$A$9:$A$61,0))),1,"")</f>
        <v/>
      </c>
      <c r="K23" s="49" t="str">
        <f>IF(AND(K$8&gt;=INDEX('작업 관리'!$E$9:$E$61,MATCH($A23,'작업 관리'!$A$9:$A$61,0)),K$8&lt;=INDEX('작업 관리'!$F$9:$F$61,MATCH($A23,'작업 관리'!$A$9:$A$61,0))),1,"")</f>
        <v/>
      </c>
      <c r="L23" s="49" t="str">
        <f>IF(AND(L$8&gt;=INDEX('작업 관리'!$E$9:$E$61,MATCH($A23,'작업 관리'!$A$9:$A$61,0)),L$8&lt;=INDEX('작업 관리'!$F$9:$F$61,MATCH($A23,'작업 관리'!$A$9:$A$61,0))),1,"")</f>
        <v/>
      </c>
      <c r="M23" s="49" t="str">
        <f>IF(AND(M$8&gt;=INDEX('작업 관리'!$E$9:$E$61,MATCH($A23,'작업 관리'!$A$9:$A$61,0)),M$8&lt;=INDEX('작업 관리'!$F$9:$F$61,MATCH($A23,'작업 관리'!$A$9:$A$61,0))),1,"")</f>
        <v/>
      </c>
      <c r="N23" s="50" t="str">
        <f>IF(AND(N$8&gt;=INDEX('작업 관리'!$E$9:$E$61,MATCH($A23,'작업 관리'!$A$9:$A$61,0)),N$8&lt;=INDEX('작업 관리'!$F$9:$F$61,MATCH($A23,'작업 관리'!$A$9:$A$61,0))),1,"")</f>
        <v/>
      </c>
      <c r="O23" s="50" t="str">
        <f>IF(AND(O$8&gt;=INDEX('작업 관리'!$E$9:$E$61,MATCH($A23,'작업 관리'!$A$9:$A$61,0)),O$8&lt;=INDEX('작업 관리'!$F$9:$F$61,MATCH($A23,'작업 관리'!$A$9:$A$61,0))),1,"")</f>
        <v/>
      </c>
      <c r="P23" s="49" t="str">
        <f>IF(AND(P$8&gt;=INDEX('작업 관리'!$E$9:$E$61,MATCH($A23,'작업 관리'!$A$9:$A$61,0)),P$8&lt;=INDEX('작업 관리'!$F$9:$F$61,MATCH($A23,'작업 관리'!$A$9:$A$61,0))),1,"")</f>
        <v/>
      </c>
      <c r="Q23" s="49" t="str">
        <f>IF(AND(Q$8&gt;=INDEX('작업 관리'!$E$9:$E$61,MATCH($A23,'작업 관리'!$A$9:$A$61,0)),Q$8&lt;=INDEX('작업 관리'!$F$9:$F$61,MATCH($A23,'작업 관리'!$A$9:$A$61,0))),1,"")</f>
        <v/>
      </c>
      <c r="R23" s="49" t="str">
        <f>IF(AND(R$8&gt;=INDEX('작업 관리'!$E$9:$E$61,MATCH($A23,'작업 관리'!$A$9:$A$61,0)),R$8&lt;=INDEX('작업 관리'!$F$9:$F$61,MATCH($A23,'작업 관리'!$A$9:$A$61,0))),1,"")</f>
        <v/>
      </c>
      <c r="S23" s="49" t="str">
        <f>IF(AND(S$8&gt;=INDEX('작업 관리'!$E$9:$E$61,MATCH($A23,'작업 관리'!$A$9:$A$61,0)),S$8&lt;=INDEX('작업 관리'!$F$9:$F$61,MATCH($A23,'작업 관리'!$A$9:$A$61,0))),1,"")</f>
        <v/>
      </c>
    </row>
    <row r="24" spans="1:19" ht="16.5">
      <c r="A24" s="39" t="s">
        <v>116</v>
      </c>
      <c r="B24" s="15" t="s">
        <v>117</v>
      </c>
      <c r="C24" s="15" t="s">
        <v>88</v>
      </c>
      <c r="D24" s="51" t="str">
        <f>IF(AND(D$8&gt;=INDEX('작업 관리'!$E$9:$E$61,MATCH($A24,'작업 관리'!$A$9:$A$61,0)),D$8&lt;=INDEX('작업 관리'!$F$9:$F$61,MATCH($A24,'작업 관리'!$A$9:$A$61,0))),1,"")</f>
        <v/>
      </c>
      <c r="E24" s="51" t="str">
        <f>IF(AND(E$8&gt;=INDEX('작업 관리'!$E$9:$E$61,MATCH($A24,'작업 관리'!$A$9:$A$61,0)),E$8&lt;=INDEX('작업 관리'!$F$9:$F$61,MATCH($A24,'작업 관리'!$A$9:$A$61,0))),1,"")</f>
        <v/>
      </c>
      <c r="F24" s="51" t="str">
        <f>IF(AND(F$8&gt;=INDEX('작업 관리'!$E$9:$E$61,MATCH($A24,'작업 관리'!$A$9:$A$61,0)),F$8&lt;=INDEX('작업 관리'!$F$9:$F$61,MATCH($A24,'작업 관리'!$A$9:$A$61,0))),1,"")</f>
        <v/>
      </c>
      <c r="G24" s="50" t="str">
        <f>IF(AND(G$8&gt;=INDEX('작업 관리'!$E$9:$E$61,MATCH($A24,'작업 관리'!$A$9:$A$61,0)),G$8&lt;=INDEX('작업 관리'!$F$9:$F$61,MATCH($A24,'작업 관리'!$A$9:$A$61,0))),1,"")</f>
        <v/>
      </c>
      <c r="H24" s="50" t="str">
        <f>IF(AND(H$8&gt;=INDEX('작업 관리'!$E$9:$E$61,MATCH($A24,'작업 관리'!$A$9:$A$61,0)),H$8&lt;=INDEX('작업 관리'!$F$9:$F$61,MATCH($A24,'작업 관리'!$A$9:$A$61,0))),1,"")</f>
        <v/>
      </c>
      <c r="I24" s="51">
        <f>IF(AND(I$8&gt;=INDEX('작업 관리'!$E$9:$E$61,MATCH($A24,'작업 관리'!$A$9:$A$61,0)),I$8&lt;=INDEX('작업 관리'!$F$9:$F$61,MATCH($A24,'작업 관리'!$A$9:$A$61,0))),1,"")</f>
        <v>1</v>
      </c>
      <c r="J24" s="51" t="str">
        <f>IF(AND(J$8&gt;=INDEX('작업 관리'!$E$9:$E$61,MATCH($A24,'작업 관리'!$A$9:$A$61,0)),J$8&lt;=INDEX('작업 관리'!$F$9:$F$61,MATCH($A24,'작업 관리'!$A$9:$A$61,0))),1,"")</f>
        <v/>
      </c>
      <c r="K24" s="51" t="str">
        <f>IF(AND(K$8&gt;=INDEX('작업 관리'!$E$9:$E$61,MATCH($A24,'작업 관리'!$A$9:$A$61,0)),K$8&lt;=INDEX('작업 관리'!$F$9:$F$61,MATCH($A24,'작업 관리'!$A$9:$A$61,0))),1,"")</f>
        <v/>
      </c>
      <c r="L24" s="51" t="str">
        <f>IF(AND(L$8&gt;=INDEX('작업 관리'!$E$9:$E$61,MATCH($A24,'작업 관리'!$A$9:$A$61,0)),L$8&lt;=INDEX('작업 관리'!$F$9:$F$61,MATCH($A24,'작업 관리'!$A$9:$A$61,0))),1,"")</f>
        <v/>
      </c>
      <c r="M24" s="51" t="str">
        <f>IF(AND(M$8&gt;=INDEX('작업 관리'!$E$9:$E$61,MATCH($A24,'작업 관리'!$A$9:$A$61,0)),M$8&lt;=INDEX('작업 관리'!$F$9:$F$61,MATCH($A24,'작업 관리'!$A$9:$A$61,0))),1,"")</f>
        <v/>
      </c>
      <c r="N24" s="50" t="str">
        <f>IF(AND(N$8&gt;=INDEX('작업 관리'!$E$9:$E$61,MATCH($A24,'작업 관리'!$A$9:$A$61,0)),N$8&lt;=INDEX('작업 관리'!$F$9:$F$61,MATCH($A24,'작업 관리'!$A$9:$A$61,0))),1,"")</f>
        <v/>
      </c>
      <c r="O24" s="50" t="str">
        <f>IF(AND(O$8&gt;=INDEX('작업 관리'!$E$9:$E$61,MATCH($A24,'작업 관리'!$A$9:$A$61,0)),O$8&lt;=INDEX('작업 관리'!$F$9:$F$61,MATCH($A24,'작업 관리'!$A$9:$A$61,0))),1,"")</f>
        <v/>
      </c>
      <c r="P24" s="51" t="str">
        <f>IF(AND(P$8&gt;=INDEX('작업 관리'!$E$9:$E$61,MATCH($A24,'작업 관리'!$A$9:$A$61,0)),P$8&lt;=INDEX('작업 관리'!$F$9:$F$61,MATCH($A24,'작업 관리'!$A$9:$A$61,0))),1,"")</f>
        <v/>
      </c>
      <c r="Q24" s="51" t="str">
        <f>IF(AND(Q$8&gt;=INDEX('작업 관리'!$E$9:$E$61,MATCH($A24,'작업 관리'!$A$9:$A$61,0)),Q$8&lt;=INDEX('작업 관리'!$F$9:$F$61,MATCH($A24,'작업 관리'!$A$9:$A$61,0))),1,"")</f>
        <v/>
      </c>
      <c r="R24" s="51" t="str">
        <f>IF(AND(R$8&gt;=INDEX('작업 관리'!$E$9:$E$61,MATCH($A24,'작업 관리'!$A$9:$A$61,0)),R$8&lt;=INDEX('작업 관리'!$F$9:$F$61,MATCH($A24,'작업 관리'!$A$9:$A$61,0))),1,"")</f>
        <v/>
      </c>
      <c r="S24" s="51" t="str">
        <f>IF(AND(S$8&gt;=INDEX('작업 관리'!$E$9:$E$61,MATCH($A24,'작업 관리'!$A$9:$A$61,0)),S$8&lt;=INDEX('작업 관리'!$F$9:$F$61,MATCH($A24,'작업 관리'!$A$9:$A$61,0))),1,"")</f>
        <v/>
      </c>
    </row>
    <row r="25" spans="1:19" ht="16.5">
      <c r="A25" s="48" t="s">
        <v>118</v>
      </c>
      <c r="B25" s="1" t="s">
        <v>119</v>
      </c>
      <c r="C25" s="1" t="s">
        <v>88</v>
      </c>
      <c r="D25" s="49" t="str">
        <f>IF(AND(D$8&gt;=INDEX('작업 관리'!$E$9:$E$61,MATCH($A25,'작업 관리'!$A$9:$A$61,0)),D$8&lt;=INDEX('작업 관리'!$F$9:$F$61,MATCH($A25,'작업 관리'!$A$9:$A$61,0))),1,"")</f>
        <v/>
      </c>
      <c r="E25" s="49" t="str">
        <f>IF(AND(E$8&gt;=INDEX('작업 관리'!$E$9:$E$61,MATCH($A25,'작업 관리'!$A$9:$A$61,0)),E$8&lt;=INDEX('작업 관리'!$F$9:$F$61,MATCH($A25,'작업 관리'!$A$9:$A$61,0))),1,"")</f>
        <v/>
      </c>
      <c r="F25" s="49" t="str">
        <f>IF(AND(F$8&gt;=INDEX('작업 관리'!$E$9:$E$61,MATCH($A25,'작업 관리'!$A$9:$A$61,0)),F$8&lt;=INDEX('작업 관리'!$F$9:$F$61,MATCH($A25,'작업 관리'!$A$9:$A$61,0))),1,"")</f>
        <v/>
      </c>
      <c r="G25" s="50" t="str">
        <f>IF(AND(G$8&gt;=INDEX('작업 관리'!$E$9:$E$61,MATCH($A25,'작업 관리'!$A$9:$A$61,0)),G$8&lt;=INDEX('작업 관리'!$F$9:$F$61,MATCH($A25,'작업 관리'!$A$9:$A$61,0))),1,"")</f>
        <v/>
      </c>
      <c r="H25" s="50" t="str">
        <f>IF(AND(H$8&gt;=INDEX('작업 관리'!$E$9:$E$61,MATCH($A25,'작업 관리'!$A$9:$A$61,0)),H$8&lt;=INDEX('작업 관리'!$F$9:$F$61,MATCH($A25,'작업 관리'!$A$9:$A$61,0))),1,"")</f>
        <v/>
      </c>
      <c r="I25" s="49" t="str">
        <f>IF(AND(I$8&gt;=INDEX('작업 관리'!$E$9:$E$61,MATCH($A25,'작업 관리'!$A$9:$A$61,0)),I$8&lt;=INDEX('작업 관리'!$F$9:$F$61,MATCH($A25,'작업 관리'!$A$9:$A$61,0))),1,"")</f>
        <v/>
      </c>
      <c r="J25" s="49">
        <f>IF(AND(J$8&gt;=INDEX('작업 관리'!$E$9:$E$61,MATCH($A25,'작업 관리'!$A$9:$A$61,0)),J$8&lt;=INDEX('작업 관리'!$F$9:$F$61,MATCH($A25,'작업 관리'!$A$9:$A$61,0))),1,"")</f>
        <v>1</v>
      </c>
      <c r="K25" s="49">
        <f>IF(AND(K$8&gt;=INDEX('작업 관리'!$E$9:$E$61,MATCH($A25,'작업 관리'!$A$9:$A$61,0)),K$8&lt;=INDEX('작업 관리'!$F$9:$F$61,MATCH($A25,'작업 관리'!$A$9:$A$61,0))),1,"")</f>
        <v>1</v>
      </c>
      <c r="L25" s="49" t="str">
        <f>IF(AND(L$8&gt;=INDEX('작업 관리'!$E$9:$E$61,MATCH($A25,'작업 관리'!$A$9:$A$61,0)),L$8&lt;=INDEX('작업 관리'!$F$9:$F$61,MATCH($A25,'작업 관리'!$A$9:$A$61,0))),1,"")</f>
        <v/>
      </c>
      <c r="M25" s="49" t="str">
        <f>IF(AND(M$8&gt;=INDEX('작업 관리'!$E$9:$E$61,MATCH($A25,'작업 관리'!$A$9:$A$61,0)),M$8&lt;=INDEX('작업 관리'!$F$9:$F$61,MATCH($A25,'작업 관리'!$A$9:$A$61,0))),1,"")</f>
        <v/>
      </c>
      <c r="N25" s="50" t="str">
        <f>IF(AND(N$8&gt;=INDEX('작업 관리'!$E$9:$E$61,MATCH($A25,'작업 관리'!$A$9:$A$61,0)),N$8&lt;=INDEX('작업 관리'!$F$9:$F$61,MATCH($A25,'작업 관리'!$A$9:$A$61,0))),1,"")</f>
        <v/>
      </c>
      <c r="O25" s="50" t="str">
        <f>IF(AND(O$8&gt;=INDEX('작업 관리'!$E$9:$E$61,MATCH($A25,'작업 관리'!$A$9:$A$61,0)),O$8&lt;=INDEX('작업 관리'!$F$9:$F$61,MATCH($A25,'작업 관리'!$A$9:$A$61,0))),1,"")</f>
        <v/>
      </c>
      <c r="P25" s="49" t="str">
        <f>IF(AND(P$8&gt;=INDEX('작업 관리'!$E$9:$E$61,MATCH($A25,'작업 관리'!$A$9:$A$61,0)),P$8&lt;=INDEX('작업 관리'!$F$9:$F$61,MATCH($A25,'작업 관리'!$A$9:$A$61,0))),1,"")</f>
        <v/>
      </c>
      <c r="Q25" s="49" t="str">
        <f>IF(AND(Q$8&gt;=INDEX('작업 관리'!$E$9:$E$61,MATCH($A25,'작업 관리'!$A$9:$A$61,0)),Q$8&lt;=INDEX('작업 관리'!$F$9:$F$61,MATCH($A25,'작업 관리'!$A$9:$A$61,0))),1,"")</f>
        <v/>
      </c>
      <c r="R25" s="49" t="str">
        <f>IF(AND(R$8&gt;=INDEX('작업 관리'!$E$9:$E$61,MATCH($A25,'작업 관리'!$A$9:$A$61,0)),R$8&lt;=INDEX('작업 관리'!$F$9:$F$61,MATCH($A25,'작업 관리'!$A$9:$A$61,0))),1,"")</f>
        <v/>
      </c>
      <c r="S25" s="49" t="str">
        <f>IF(AND(S$8&gt;=INDEX('작업 관리'!$E$9:$E$61,MATCH($A25,'작업 관리'!$A$9:$A$61,0)),S$8&lt;=INDEX('작업 관리'!$F$9:$F$61,MATCH($A25,'작업 관리'!$A$9:$A$61,0))),1,"")</f>
        <v/>
      </c>
    </row>
    <row r="26" spans="1:19" ht="16.5">
      <c r="A26" s="39" t="s">
        <v>120</v>
      </c>
      <c r="B26" s="15" t="s">
        <v>121</v>
      </c>
      <c r="C26" s="15" t="s">
        <v>122</v>
      </c>
      <c r="D26" s="51" t="str">
        <f>IF(AND(D$8&gt;=INDEX('작업 관리'!$E$9:$E$61,MATCH($A26,'작업 관리'!$A$9:$A$61,0)),D$8&lt;=INDEX('작업 관리'!$F$9:$F$61,MATCH($A26,'작업 관리'!$A$9:$A$61,0))),1,"")</f>
        <v/>
      </c>
      <c r="E26" s="51" t="str">
        <f>IF(AND(E$8&gt;=INDEX('작업 관리'!$E$9:$E$61,MATCH($A26,'작업 관리'!$A$9:$A$61,0)),E$8&lt;=INDEX('작업 관리'!$F$9:$F$61,MATCH($A26,'작업 관리'!$A$9:$A$61,0))),1,"")</f>
        <v/>
      </c>
      <c r="F26" s="51" t="str">
        <f>IF(AND(F$8&gt;=INDEX('작업 관리'!$E$9:$E$61,MATCH($A26,'작업 관리'!$A$9:$A$61,0)),F$8&lt;=INDEX('작업 관리'!$F$9:$F$61,MATCH($A26,'작업 관리'!$A$9:$A$61,0))),1,"")</f>
        <v/>
      </c>
      <c r="G26" s="50">
        <f>IF(AND(G$8&gt;=INDEX('작업 관리'!$E$9:$E$61,MATCH($A26,'작업 관리'!$A$9:$A$61,0)),G$8&lt;=INDEX('작업 관리'!$F$9:$F$61,MATCH($A26,'작업 관리'!$A$9:$A$61,0))),1,"")</f>
        <v>1</v>
      </c>
      <c r="H26" s="50" t="str">
        <f>IF(AND(H$8&gt;=INDEX('작업 관리'!$E$9:$E$61,MATCH($A26,'작업 관리'!$A$9:$A$61,0)),H$8&lt;=INDEX('작업 관리'!$F$9:$F$61,MATCH($A26,'작업 관리'!$A$9:$A$61,0))),1,"")</f>
        <v/>
      </c>
      <c r="I26" s="51" t="str">
        <f>IF(AND(I$8&gt;=INDEX('작업 관리'!$E$9:$E$61,MATCH($A26,'작업 관리'!$A$9:$A$61,0)),I$8&lt;=INDEX('작업 관리'!$F$9:$F$61,MATCH($A26,'작업 관리'!$A$9:$A$61,0))),1,"")</f>
        <v/>
      </c>
      <c r="J26" s="51" t="str">
        <f>IF(AND(J$8&gt;=INDEX('작업 관리'!$E$9:$E$61,MATCH($A26,'작업 관리'!$A$9:$A$61,0)),J$8&lt;=INDEX('작업 관리'!$F$9:$F$61,MATCH($A26,'작업 관리'!$A$9:$A$61,0))),1,"")</f>
        <v/>
      </c>
      <c r="K26" s="51" t="str">
        <f>IF(AND(K$8&gt;=INDEX('작업 관리'!$E$9:$E$61,MATCH($A26,'작업 관리'!$A$9:$A$61,0)),K$8&lt;=INDEX('작업 관리'!$F$9:$F$61,MATCH($A26,'작업 관리'!$A$9:$A$61,0))),1,"")</f>
        <v/>
      </c>
      <c r="L26" s="51" t="str">
        <f>IF(AND(L$8&gt;=INDEX('작업 관리'!$E$9:$E$61,MATCH($A26,'작업 관리'!$A$9:$A$61,0)),L$8&lt;=INDEX('작업 관리'!$F$9:$F$61,MATCH($A26,'작업 관리'!$A$9:$A$61,0))),1,"")</f>
        <v/>
      </c>
      <c r="M26" s="51" t="str">
        <f>IF(AND(M$8&gt;=INDEX('작업 관리'!$E$9:$E$61,MATCH($A26,'작업 관리'!$A$9:$A$61,0)),M$8&lt;=INDEX('작업 관리'!$F$9:$F$61,MATCH($A26,'작업 관리'!$A$9:$A$61,0))),1,"")</f>
        <v/>
      </c>
      <c r="N26" s="50" t="str">
        <f>IF(AND(N$8&gt;=INDEX('작업 관리'!$E$9:$E$61,MATCH($A26,'작업 관리'!$A$9:$A$61,0)),N$8&lt;=INDEX('작업 관리'!$F$9:$F$61,MATCH($A26,'작업 관리'!$A$9:$A$61,0))),1,"")</f>
        <v/>
      </c>
      <c r="O26" s="50" t="str">
        <f>IF(AND(O$8&gt;=INDEX('작업 관리'!$E$9:$E$61,MATCH($A26,'작업 관리'!$A$9:$A$61,0)),O$8&lt;=INDEX('작업 관리'!$F$9:$F$61,MATCH($A26,'작업 관리'!$A$9:$A$61,0))),1,"")</f>
        <v/>
      </c>
      <c r="P26" s="51" t="str">
        <f>IF(AND(P$8&gt;=INDEX('작업 관리'!$E$9:$E$61,MATCH($A26,'작업 관리'!$A$9:$A$61,0)),P$8&lt;=INDEX('작업 관리'!$F$9:$F$61,MATCH($A26,'작업 관리'!$A$9:$A$61,0))),1,"")</f>
        <v/>
      </c>
      <c r="Q26" s="51" t="str">
        <f>IF(AND(Q$8&gt;=INDEX('작업 관리'!$E$9:$E$61,MATCH($A26,'작업 관리'!$A$9:$A$61,0)),Q$8&lt;=INDEX('작업 관리'!$F$9:$F$61,MATCH($A26,'작업 관리'!$A$9:$A$61,0))),1,"")</f>
        <v/>
      </c>
      <c r="R26" s="51" t="str">
        <f>IF(AND(R$8&gt;=INDEX('작업 관리'!$E$9:$E$61,MATCH($A26,'작업 관리'!$A$9:$A$61,0)),R$8&lt;=INDEX('작업 관리'!$F$9:$F$61,MATCH($A26,'작업 관리'!$A$9:$A$61,0))),1,"")</f>
        <v/>
      </c>
      <c r="S26" s="51" t="str">
        <f>IF(AND(S$8&gt;=INDEX('작업 관리'!$E$9:$E$61,MATCH($A26,'작업 관리'!$A$9:$A$61,0)),S$8&lt;=INDEX('작업 관리'!$F$9:$F$61,MATCH($A26,'작업 관리'!$A$9:$A$61,0))),1,"")</f>
        <v/>
      </c>
    </row>
    <row r="27" spans="1:19" ht="16.5">
      <c r="A27" s="48" t="s">
        <v>123</v>
      </c>
      <c r="B27" s="1" t="s">
        <v>124</v>
      </c>
      <c r="C27" s="1" t="s">
        <v>88</v>
      </c>
      <c r="D27" s="49" t="str">
        <f>IF(AND(D$8&gt;=INDEX('작업 관리'!$E$9:$E$61,MATCH($A27,'작업 관리'!$A$9:$A$61,0)),D$8&lt;=INDEX('작업 관리'!$F$9:$F$61,MATCH($A27,'작업 관리'!$A$9:$A$61,0))),1,"")</f>
        <v/>
      </c>
      <c r="E27" s="49" t="str">
        <f>IF(AND(E$8&gt;=INDEX('작업 관리'!$E$9:$E$61,MATCH($A27,'작업 관리'!$A$9:$A$61,0)),E$8&lt;=INDEX('작업 관리'!$F$9:$F$61,MATCH($A27,'작업 관리'!$A$9:$A$61,0))),1,"")</f>
        <v/>
      </c>
      <c r="F27" s="49" t="str">
        <f>IF(AND(F$8&gt;=INDEX('작업 관리'!$E$9:$E$61,MATCH($A27,'작업 관리'!$A$9:$A$61,0)),F$8&lt;=INDEX('작업 관리'!$F$9:$F$61,MATCH($A27,'작업 관리'!$A$9:$A$61,0))),1,"")</f>
        <v/>
      </c>
      <c r="G27" s="50">
        <f>IF(AND(G$8&gt;=INDEX('작업 관리'!$E$9:$E$61,MATCH($A27,'작업 관리'!$A$9:$A$61,0)),G$8&lt;=INDEX('작업 관리'!$F$9:$F$61,MATCH($A27,'작업 관리'!$A$9:$A$61,0))),1,"")</f>
        <v>1</v>
      </c>
      <c r="H27" s="50">
        <f>IF(AND(H$8&gt;=INDEX('작업 관리'!$E$9:$E$61,MATCH($A27,'작업 관리'!$A$9:$A$61,0)),H$8&lt;=INDEX('작업 관리'!$F$9:$F$61,MATCH($A27,'작업 관리'!$A$9:$A$61,0))),1,"")</f>
        <v>1</v>
      </c>
      <c r="I27" s="49">
        <f>IF(AND(I$8&gt;=INDEX('작업 관리'!$E$9:$E$61,MATCH($A27,'작업 관리'!$A$9:$A$61,0)),I$8&lt;=INDEX('작업 관리'!$F$9:$F$61,MATCH($A27,'작업 관리'!$A$9:$A$61,0))),1,"")</f>
        <v>1</v>
      </c>
      <c r="J27" s="49" t="str">
        <f>IF(AND(J$8&gt;=INDEX('작업 관리'!$E$9:$E$61,MATCH($A27,'작업 관리'!$A$9:$A$61,0)),J$8&lt;=INDEX('작업 관리'!$F$9:$F$61,MATCH($A27,'작업 관리'!$A$9:$A$61,0))),1,"")</f>
        <v/>
      </c>
      <c r="K27" s="49" t="str">
        <f>IF(AND(K$8&gt;=INDEX('작업 관리'!$E$9:$E$61,MATCH($A27,'작업 관리'!$A$9:$A$61,0)),K$8&lt;=INDEX('작업 관리'!$F$9:$F$61,MATCH($A27,'작업 관리'!$A$9:$A$61,0))),1,"")</f>
        <v/>
      </c>
      <c r="L27" s="49" t="str">
        <f>IF(AND(L$8&gt;=INDEX('작업 관리'!$E$9:$E$61,MATCH($A27,'작업 관리'!$A$9:$A$61,0)),L$8&lt;=INDEX('작업 관리'!$F$9:$F$61,MATCH($A27,'작업 관리'!$A$9:$A$61,0))),1,"")</f>
        <v/>
      </c>
      <c r="M27" s="49" t="str">
        <f>IF(AND(M$8&gt;=INDEX('작업 관리'!$E$9:$E$61,MATCH($A27,'작업 관리'!$A$9:$A$61,0)),M$8&lt;=INDEX('작업 관리'!$F$9:$F$61,MATCH($A27,'작업 관리'!$A$9:$A$61,0))),1,"")</f>
        <v/>
      </c>
      <c r="N27" s="50" t="str">
        <f>IF(AND(N$8&gt;=INDEX('작업 관리'!$E$9:$E$61,MATCH($A27,'작업 관리'!$A$9:$A$61,0)),N$8&lt;=INDEX('작업 관리'!$F$9:$F$61,MATCH($A27,'작업 관리'!$A$9:$A$61,0))),1,"")</f>
        <v/>
      </c>
      <c r="O27" s="50" t="str">
        <f>IF(AND(O$8&gt;=INDEX('작업 관리'!$E$9:$E$61,MATCH($A27,'작업 관리'!$A$9:$A$61,0)),O$8&lt;=INDEX('작업 관리'!$F$9:$F$61,MATCH($A27,'작업 관리'!$A$9:$A$61,0))),1,"")</f>
        <v/>
      </c>
      <c r="P27" s="49" t="str">
        <f>IF(AND(P$8&gt;=INDEX('작업 관리'!$E$9:$E$61,MATCH($A27,'작업 관리'!$A$9:$A$61,0)),P$8&lt;=INDEX('작업 관리'!$F$9:$F$61,MATCH($A27,'작업 관리'!$A$9:$A$61,0))),1,"")</f>
        <v/>
      </c>
      <c r="Q27" s="49" t="str">
        <f>IF(AND(Q$8&gt;=INDEX('작업 관리'!$E$9:$E$61,MATCH($A27,'작업 관리'!$A$9:$A$61,0)),Q$8&lt;=INDEX('작업 관리'!$F$9:$F$61,MATCH($A27,'작업 관리'!$A$9:$A$61,0))),1,"")</f>
        <v/>
      </c>
      <c r="R27" s="49" t="str">
        <f>IF(AND(R$8&gt;=INDEX('작업 관리'!$E$9:$E$61,MATCH($A27,'작업 관리'!$A$9:$A$61,0)),R$8&lt;=INDEX('작업 관리'!$F$9:$F$61,MATCH($A27,'작업 관리'!$A$9:$A$61,0))),1,"")</f>
        <v/>
      </c>
      <c r="S27" s="49" t="str">
        <f>IF(AND(S$8&gt;=INDEX('작업 관리'!$E$9:$E$61,MATCH($A27,'작업 관리'!$A$9:$A$61,0)),S$8&lt;=INDEX('작업 관리'!$F$9:$F$61,MATCH($A27,'작업 관리'!$A$9:$A$61,0))),1,"")</f>
        <v/>
      </c>
    </row>
    <row r="28" spans="1:19" ht="16.5">
      <c r="A28" s="39" t="s">
        <v>125</v>
      </c>
      <c r="B28" s="15" t="s">
        <v>126</v>
      </c>
      <c r="C28" s="15" t="s">
        <v>122</v>
      </c>
      <c r="D28" s="51" t="str">
        <f>IF(AND(D$8&gt;=INDEX('작업 관리'!$E$9:$E$61,MATCH($A28,'작업 관리'!$A$9:$A$61,0)),D$8&lt;=INDEX('작업 관리'!$F$9:$F$61,MATCH($A28,'작업 관리'!$A$9:$A$61,0))),1,"")</f>
        <v/>
      </c>
      <c r="E28" s="51" t="str">
        <f>IF(AND(E$8&gt;=INDEX('작업 관리'!$E$9:$E$61,MATCH($A28,'작업 관리'!$A$9:$A$61,0)),E$8&lt;=INDEX('작업 관리'!$F$9:$F$61,MATCH($A28,'작업 관리'!$A$9:$A$61,0))),1,"")</f>
        <v/>
      </c>
      <c r="F28" s="51" t="str">
        <f>IF(AND(F$8&gt;=INDEX('작업 관리'!$E$9:$E$61,MATCH($A28,'작업 관리'!$A$9:$A$61,0)),F$8&lt;=INDEX('작업 관리'!$F$9:$F$61,MATCH($A28,'작업 관리'!$A$9:$A$61,0))),1,"")</f>
        <v/>
      </c>
      <c r="G28" s="50">
        <f>IF(AND(G$8&gt;=INDEX('작업 관리'!$E$9:$E$61,MATCH($A28,'작업 관리'!$A$9:$A$61,0)),G$8&lt;=INDEX('작업 관리'!$F$9:$F$61,MATCH($A28,'작업 관리'!$A$9:$A$61,0))),1,"")</f>
        <v>1</v>
      </c>
      <c r="H28" s="50">
        <f>IF(AND(H$8&gt;=INDEX('작업 관리'!$E$9:$E$61,MATCH($A28,'작업 관리'!$A$9:$A$61,0)),H$8&lt;=INDEX('작업 관리'!$F$9:$F$61,MATCH($A28,'작업 관리'!$A$9:$A$61,0))),1,"")</f>
        <v>1</v>
      </c>
      <c r="I28" s="51" t="str">
        <f>IF(AND(I$8&gt;=INDEX('작업 관리'!$E$9:$E$61,MATCH($A28,'작업 관리'!$A$9:$A$61,0)),I$8&lt;=INDEX('작업 관리'!$F$9:$F$61,MATCH($A28,'작업 관리'!$A$9:$A$61,0))),1,"")</f>
        <v/>
      </c>
      <c r="J28" s="51" t="str">
        <f>IF(AND(J$8&gt;=INDEX('작업 관리'!$E$9:$E$61,MATCH($A28,'작업 관리'!$A$9:$A$61,0)),J$8&lt;=INDEX('작업 관리'!$F$9:$F$61,MATCH($A28,'작업 관리'!$A$9:$A$61,0))),1,"")</f>
        <v/>
      </c>
      <c r="K28" s="51" t="str">
        <f>IF(AND(K$8&gt;=INDEX('작업 관리'!$E$9:$E$61,MATCH($A28,'작업 관리'!$A$9:$A$61,0)),K$8&lt;=INDEX('작업 관리'!$F$9:$F$61,MATCH($A28,'작업 관리'!$A$9:$A$61,0))),1,"")</f>
        <v/>
      </c>
      <c r="L28" s="51" t="str">
        <f>IF(AND(L$8&gt;=INDEX('작업 관리'!$E$9:$E$61,MATCH($A28,'작업 관리'!$A$9:$A$61,0)),L$8&lt;=INDEX('작업 관리'!$F$9:$F$61,MATCH($A28,'작업 관리'!$A$9:$A$61,0))),1,"")</f>
        <v/>
      </c>
      <c r="M28" s="51" t="str">
        <f>IF(AND(M$8&gt;=INDEX('작업 관리'!$E$9:$E$61,MATCH($A28,'작업 관리'!$A$9:$A$61,0)),M$8&lt;=INDEX('작업 관리'!$F$9:$F$61,MATCH($A28,'작업 관리'!$A$9:$A$61,0))),1,"")</f>
        <v/>
      </c>
      <c r="N28" s="50" t="str">
        <f>IF(AND(N$8&gt;=INDEX('작업 관리'!$E$9:$E$61,MATCH($A28,'작업 관리'!$A$9:$A$61,0)),N$8&lt;=INDEX('작업 관리'!$F$9:$F$61,MATCH($A28,'작업 관리'!$A$9:$A$61,0))),1,"")</f>
        <v/>
      </c>
      <c r="O28" s="50" t="str">
        <f>IF(AND(O$8&gt;=INDEX('작업 관리'!$E$9:$E$61,MATCH($A28,'작업 관리'!$A$9:$A$61,0)),O$8&lt;=INDEX('작업 관리'!$F$9:$F$61,MATCH($A28,'작업 관리'!$A$9:$A$61,0))),1,"")</f>
        <v/>
      </c>
      <c r="P28" s="51" t="str">
        <f>IF(AND(P$8&gt;=INDEX('작업 관리'!$E$9:$E$61,MATCH($A28,'작업 관리'!$A$9:$A$61,0)),P$8&lt;=INDEX('작업 관리'!$F$9:$F$61,MATCH($A28,'작업 관리'!$A$9:$A$61,0))),1,"")</f>
        <v/>
      </c>
      <c r="Q28" s="51" t="str">
        <f>IF(AND(Q$8&gt;=INDEX('작업 관리'!$E$9:$E$61,MATCH($A28,'작업 관리'!$A$9:$A$61,0)),Q$8&lt;=INDEX('작업 관리'!$F$9:$F$61,MATCH($A28,'작업 관리'!$A$9:$A$61,0))),1,"")</f>
        <v/>
      </c>
      <c r="R28" s="51" t="str">
        <f>IF(AND(R$8&gt;=INDEX('작업 관리'!$E$9:$E$61,MATCH($A28,'작업 관리'!$A$9:$A$61,0)),R$8&lt;=INDEX('작업 관리'!$F$9:$F$61,MATCH($A28,'작업 관리'!$A$9:$A$61,0))),1,"")</f>
        <v/>
      </c>
      <c r="S28" s="51" t="str">
        <f>IF(AND(S$8&gt;=INDEX('작업 관리'!$E$9:$E$61,MATCH($A28,'작업 관리'!$A$9:$A$61,0)),S$8&lt;=INDEX('작업 관리'!$F$9:$F$61,MATCH($A28,'작업 관리'!$A$9:$A$61,0))),1,"")</f>
        <v/>
      </c>
    </row>
    <row r="29" spans="1:19" ht="16.5">
      <c r="A29" s="48" t="s">
        <v>127</v>
      </c>
      <c r="B29" s="1" t="s">
        <v>128</v>
      </c>
      <c r="C29" s="1" t="s">
        <v>122</v>
      </c>
      <c r="D29" s="49" t="str">
        <f>IF(AND(D$8&gt;=INDEX('작업 관리'!$E$9:$E$61,MATCH($A29,'작업 관리'!$A$9:$A$61,0)),D$8&lt;=INDEX('작업 관리'!$F$9:$F$61,MATCH($A29,'작업 관리'!$A$9:$A$61,0))),1,"")</f>
        <v/>
      </c>
      <c r="E29" s="49" t="str">
        <f>IF(AND(E$8&gt;=INDEX('작업 관리'!$E$9:$E$61,MATCH($A29,'작업 관리'!$A$9:$A$61,0)),E$8&lt;=INDEX('작업 관리'!$F$9:$F$61,MATCH($A29,'작업 관리'!$A$9:$A$61,0))),1,"")</f>
        <v/>
      </c>
      <c r="F29" s="49" t="str">
        <f>IF(AND(F$8&gt;=INDEX('작업 관리'!$E$9:$E$61,MATCH($A29,'작업 관리'!$A$9:$A$61,0)),F$8&lt;=INDEX('작업 관리'!$F$9:$F$61,MATCH($A29,'작업 관리'!$A$9:$A$61,0))),1,"")</f>
        <v/>
      </c>
      <c r="G29" s="50" t="str">
        <f>IF(AND(G$8&gt;=INDEX('작업 관리'!$E$9:$E$61,MATCH($A29,'작업 관리'!$A$9:$A$61,0)),G$8&lt;=INDEX('작업 관리'!$F$9:$F$61,MATCH($A29,'작업 관리'!$A$9:$A$61,0))),1,"")</f>
        <v/>
      </c>
      <c r="H29" s="50">
        <f>IF(AND(H$8&gt;=INDEX('작업 관리'!$E$9:$E$61,MATCH($A29,'작업 관리'!$A$9:$A$61,0)),H$8&lt;=INDEX('작업 관리'!$F$9:$F$61,MATCH($A29,'작업 관리'!$A$9:$A$61,0))),1,"")</f>
        <v>1</v>
      </c>
      <c r="I29" s="49">
        <f>IF(AND(I$8&gt;=INDEX('작업 관리'!$E$9:$E$61,MATCH($A29,'작업 관리'!$A$9:$A$61,0)),I$8&lt;=INDEX('작업 관리'!$F$9:$F$61,MATCH($A29,'작업 관리'!$A$9:$A$61,0))),1,"")</f>
        <v>1</v>
      </c>
      <c r="J29" s="49" t="str">
        <f>IF(AND(J$8&gt;=INDEX('작업 관리'!$E$9:$E$61,MATCH($A29,'작업 관리'!$A$9:$A$61,0)),J$8&lt;=INDEX('작업 관리'!$F$9:$F$61,MATCH($A29,'작업 관리'!$A$9:$A$61,0))),1,"")</f>
        <v/>
      </c>
      <c r="K29" s="49" t="str">
        <f>IF(AND(K$8&gt;=INDEX('작업 관리'!$E$9:$E$61,MATCH($A29,'작업 관리'!$A$9:$A$61,0)),K$8&lt;=INDEX('작업 관리'!$F$9:$F$61,MATCH($A29,'작업 관리'!$A$9:$A$61,0))),1,"")</f>
        <v/>
      </c>
      <c r="L29" s="49" t="str">
        <f>IF(AND(L$8&gt;=INDEX('작업 관리'!$E$9:$E$61,MATCH($A29,'작업 관리'!$A$9:$A$61,0)),L$8&lt;=INDEX('작업 관리'!$F$9:$F$61,MATCH($A29,'작업 관리'!$A$9:$A$61,0))),1,"")</f>
        <v/>
      </c>
      <c r="M29" s="49" t="str">
        <f>IF(AND(M$8&gt;=INDEX('작업 관리'!$E$9:$E$61,MATCH($A29,'작업 관리'!$A$9:$A$61,0)),M$8&lt;=INDEX('작업 관리'!$F$9:$F$61,MATCH($A29,'작업 관리'!$A$9:$A$61,0))),1,"")</f>
        <v/>
      </c>
      <c r="N29" s="50" t="str">
        <f>IF(AND(N$8&gt;=INDEX('작업 관리'!$E$9:$E$61,MATCH($A29,'작업 관리'!$A$9:$A$61,0)),N$8&lt;=INDEX('작업 관리'!$F$9:$F$61,MATCH($A29,'작업 관리'!$A$9:$A$61,0))),1,"")</f>
        <v/>
      </c>
      <c r="O29" s="50" t="str">
        <f>IF(AND(O$8&gt;=INDEX('작업 관리'!$E$9:$E$61,MATCH($A29,'작업 관리'!$A$9:$A$61,0)),O$8&lt;=INDEX('작업 관리'!$F$9:$F$61,MATCH($A29,'작업 관리'!$A$9:$A$61,0))),1,"")</f>
        <v/>
      </c>
      <c r="P29" s="49" t="str">
        <f>IF(AND(P$8&gt;=INDEX('작업 관리'!$E$9:$E$61,MATCH($A29,'작업 관리'!$A$9:$A$61,0)),P$8&lt;=INDEX('작업 관리'!$F$9:$F$61,MATCH($A29,'작업 관리'!$A$9:$A$61,0))),1,"")</f>
        <v/>
      </c>
      <c r="Q29" s="49" t="str">
        <f>IF(AND(Q$8&gt;=INDEX('작업 관리'!$E$9:$E$61,MATCH($A29,'작업 관리'!$A$9:$A$61,0)),Q$8&lt;=INDEX('작업 관리'!$F$9:$F$61,MATCH($A29,'작업 관리'!$A$9:$A$61,0))),1,"")</f>
        <v/>
      </c>
      <c r="R29" s="49" t="str">
        <f>IF(AND(R$8&gt;=INDEX('작업 관리'!$E$9:$E$61,MATCH($A29,'작업 관리'!$A$9:$A$61,0)),R$8&lt;=INDEX('작업 관리'!$F$9:$F$61,MATCH($A29,'작업 관리'!$A$9:$A$61,0))),1,"")</f>
        <v/>
      </c>
      <c r="S29" s="49" t="str">
        <f>IF(AND(S$8&gt;=INDEX('작업 관리'!$E$9:$E$61,MATCH($A29,'작업 관리'!$A$9:$A$61,0)),S$8&lt;=INDEX('작업 관리'!$F$9:$F$61,MATCH($A29,'작업 관리'!$A$9:$A$61,0))),1,"")</f>
        <v/>
      </c>
    </row>
    <row r="30" spans="1:19" ht="16.5">
      <c r="A30" s="39" t="s">
        <v>129</v>
      </c>
      <c r="B30" s="15" t="s">
        <v>130</v>
      </c>
      <c r="C30" s="15" t="s">
        <v>88</v>
      </c>
      <c r="D30" s="51" t="str">
        <f>IF(AND(D$8&gt;=INDEX('작업 관리'!$E$9:$E$61,MATCH($A30,'작업 관리'!$A$9:$A$61,0)),D$8&lt;=INDEX('작업 관리'!$F$9:$F$61,MATCH($A30,'작업 관리'!$A$9:$A$61,0))),1,"")</f>
        <v/>
      </c>
      <c r="E30" s="51" t="str">
        <f>IF(AND(E$8&gt;=INDEX('작업 관리'!$E$9:$E$61,MATCH($A30,'작업 관리'!$A$9:$A$61,0)),E$8&lt;=INDEX('작업 관리'!$F$9:$F$61,MATCH($A30,'작업 관리'!$A$9:$A$61,0))),1,"")</f>
        <v/>
      </c>
      <c r="F30" s="51" t="str">
        <f>IF(AND(F$8&gt;=INDEX('작업 관리'!$E$9:$E$61,MATCH($A30,'작업 관리'!$A$9:$A$61,0)),F$8&lt;=INDEX('작업 관리'!$F$9:$F$61,MATCH($A30,'작업 관리'!$A$9:$A$61,0))),1,"")</f>
        <v/>
      </c>
      <c r="G30" s="50" t="str">
        <f>IF(AND(G$8&gt;=INDEX('작업 관리'!$E$9:$E$61,MATCH($A30,'작업 관리'!$A$9:$A$61,0)),G$8&lt;=INDEX('작업 관리'!$F$9:$F$61,MATCH($A30,'작업 관리'!$A$9:$A$61,0))),1,"")</f>
        <v/>
      </c>
      <c r="H30" s="50" t="str">
        <f>IF(AND(H$8&gt;=INDEX('작업 관리'!$E$9:$E$61,MATCH($A30,'작업 관리'!$A$9:$A$61,0)),H$8&lt;=INDEX('작업 관리'!$F$9:$F$61,MATCH($A30,'작업 관리'!$A$9:$A$61,0))),1,"")</f>
        <v/>
      </c>
      <c r="I30" s="51">
        <f>IF(AND(I$8&gt;=INDEX('작업 관리'!$E$9:$E$61,MATCH($A30,'작업 관리'!$A$9:$A$61,0)),I$8&lt;=INDEX('작업 관리'!$F$9:$F$61,MATCH($A30,'작업 관리'!$A$9:$A$61,0))),1,"")</f>
        <v>1</v>
      </c>
      <c r="J30" s="51" t="str">
        <f>IF(AND(J$8&gt;=INDEX('작업 관리'!$E$9:$E$61,MATCH($A30,'작업 관리'!$A$9:$A$61,0)),J$8&lt;=INDEX('작업 관리'!$F$9:$F$61,MATCH($A30,'작업 관리'!$A$9:$A$61,0))),1,"")</f>
        <v/>
      </c>
      <c r="K30" s="51" t="str">
        <f>IF(AND(K$8&gt;=INDEX('작업 관리'!$E$9:$E$61,MATCH($A30,'작업 관리'!$A$9:$A$61,0)),K$8&lt;=INDEX('작업 관리'!$F$9:$F$61,MATCH($A30,'작업 관리'!$A$9:$A$61,0))),1,"")</f>
        <v/>
      </c>
      <c r="L30" s="51" t="str">
        <f>IF(AND(L$8&gt;=INDEX('작업 관리'!$E$9:$E$61,MATCH($A30,'작업 관리'!$A$9:$A$61,0)),L$8&lt;=INDEX('작업 관리'!$F$9:$F$61,MATCH($A30,'작업 관리'!$A$9:$A$61,0))),1,"")</f>
        <v/>
      </c>
      <c r="M30" s="51" t="str">
        <f>IF(AND(M$8&gt;=INDEX('작업 관리'!$E$9:$E$61,MATCH($A30,'작업 관리'!$A$9:$A$61,0)),M$8&lt;=INDEX('작업 관리'!$F$9:$F$61,MATCH($A30,'작업 관리'!$A$9:$A$61,0))),1,"")</f>
        <v/>
      </c>
      <c r="N30" s="50" t="str">
        <f>IF(AND(N$8&gt;=INDEX('작업 관리'!$E$9:$E$61,MATCH($A30,'작업 관리'!$A$9:$A$61,0)),N$8&lt;=INDEX('작업 관리'!$F$9:$F$61,MATCH($A30,'작업 관리'!$A$9:$A$61,0))),1,"")</f>
        <v/>
      </c>
      <c r="O30" s="50" t="str">
        <f>IF(AND(O$8&gt;=INDEX('작업 관리'!$E$9:$E$61,MATCH($A30,'작업 관리'!$A$9:$A$61,0)),O$8&lt;=INDEX('작업 관리'!$F$9:$F$61,MATCH($A30,'작업 관리'!$A$9:$A$61,0))),1,"")</f>
        <v/>
      </c>
      <c r="P30" s="51" t="str">
        <f>IF(AND(P$8&gt;=INDEX('작업 관리'!$E$9:$E$61,MATCH($A30,'작업 관리'!$A$9:$A$61,0)),P$8&lt;=INDEX('작업 관리'!$F$9:$F$61,MATCH($A30,'작업 관리'!$A$9:$A$61,0))),1,"")</f>
        <v/>
      </c>
      <c r="Q30" s="51" t="str">
        <f>IF(AND(Q$8&gt;=INDEX('작업 관리'!$E$9:$E$61,MATCH($A30,'작업 관리'!$A$9:$A$61,0)),Q$8&lt;=INDEX('작업 관리'!$F$9:$F$61,MATCH($A30,'작업 관리'!$A$9:$A$61,0))),1,"")</f>
        <v/>
      </c>
      <c r="R30" s="51" t="str">
        <f>IF(AND(R$8&gt;=INDEX('작업 관리'!$E$9:$E$61,MATCH($A30,'작업 관리'!$A$9:$A$61,0)),R$8&lt;=INDEX('작업 관리'!$F$9:$F$61,MATCH($A30,'작업 관리'!$A$9:$A$61,0))),1,"")</f>
        <v/>
      </c>
      <c r="S30" s="51" t="str">
        <f>IF(AND(S$8&gt;=INDEX('작업 관리'!$E$9:$E$61,MATCH($A30,'작업 관리'!$A$9:$A$61,0)),S$8&lt;=INDEX('작업 관리'!$F$9:$F$61,MATCH($A30,'작업 관리'!$A$9:$A$61,0))),1,"")</f>
        <v/>
      </c>
    </row>
    <row r="31" spans="1:19" ht="16.5">
      <c r="A31" s="48" t="s">
        <v>131</v>
      </c>
      <c r="B31" s="1" t="s">
        <v>132</v>
      </c>
      <c r="C31" s="1" t="s">
        <v>122</v>
      </c>
      <c r="D31" s="49" t="str">
        <f>IF(AND(D$8&gt;=INDEX('작업 관리'!$E$9:$E$61,MATCH($A31,'작업 관리'!$A$9:$A$61,0)),D$8&lt;=INDEX('작업 관리'!$F$9:$F$61,MATCH($A31,'작업 관리'!$A$9:$A$61,0))),1,"")</f>
        <v/>
      </c>
      <c r="E31" s="49" t="str">
        <f>IF(AND(E$8&gt;=INDEX('작업 관리'!$E$9:$E$61,MATCH($A31,'작업 관리'!$A$9:$A$61,0)),E$8&lt;=INDEX('작업 관리'!$F$9:$F$61,MATCH($A31,'작업 관리'!$A$9:$A$61,0))),1,"")</f>
        <v/>
      </c>
      <c r="F31" s="49" t="str">
        <f>IF(AND(F$8&gt;=INDEX('작업 관리'!$E$9:$E$61,MATCH($A31,'작업 관리'!$A$9:$A$61,0)),F$8&lt;=INDEX('작업 관리'!$F$9:$F$61,MATCH($A31,'작업 관리'!$A$9:$A$61,0))),1,"")</f>
        <v/>
      </c>
      <c r="G31" s="50" t="str">
        <f>IF(AND(G$8&gt;=INDEX('작업 관리'!$E$9:$E$61,MATCH($A31,'작업 관리'!$A$9:$A$61,0)),G$8&lt;=INDEX('작업 관리'!$F$9:$F$61,MATCH($A31,'작업 관리'!$A$9:$A$61,0))),1,"")</f>
        <v/>
      </c>
      <c r="H31" s="50" t="str">
        <f>IF(AND(H$8&gt;=INDEX('작업 관리'!$E$9:$E$61,MATCH($A31,'작업 관리'!$A$9:$A$61,0)),H$8&lt;=INDEX('작업 관리'!$F$9:$F$61,MATCH($A31,'작업 관리'!$A$9:$A$61,0))),1,"")</f>
        <v/>
      </c>
      <c r="I31" s="49" t="str">
        <f>IF(AND(I$8&gt;=INDEX('작업 관리'!$E$9:$E$61,MATCH($A31,'작업 관리'!$A$9:$A$61,0)),I$8&lt;=INDEX('작업 관리'!$F$9:$F$61,MATCH($A31,'작업 관리'!$A$9:$A$61,0))),1,"")</f>
        <v/>
      </c>
      <c r="J31" s="49">
        <f>IF(AND(J$8&gt;=INDEX('작업 관리'!$E$9:$E$61,MATCH($A31,'작업 관리'!$A$9:$A$61,0)),J$8&lt;=INDEX('작업 관리'!$F$9:$F$61,MATCH($A31,'작업 관리'!$A$9:$A$61,0))),1,"")</f>
        <v>1</v>
      </c>
      <c r="K31" s="49">
        <f>IF(AND(K$8&gt;=INDEX('작업 관리'!$E$9:$E$61,MATCH($A31,'작업 관리'!$A$9:$A$61,0)),K$8&lt;=INDEX('작업 관리'!$F$9:$F$61,MATCH($A31,'작업 관리'!$A$9:$A$61,0))),1,"")</f>
        <v>1</v>
      </c>
      <c r="L31" s="49" t="str">
        <f>IF(AND(L$8&gt;=INDEX('작업 관리'!$E$9:$E$61,MATCH($A31,'작업 관리'!$A$9:$A$61,0)),L$8&lt;=INDEX('작업 관리'!$F$9:$F$61,MATCH($A31,'작업 관리'!$A$9:$A$61,0))),1,"")</f>
        <v/>
      </c>
      <c r="M31" s="49" t="str">
        <f>IF(AND(M$8&gt;=INDEX('작업 관리'!$E$9:$E$61,MATCH($A31,'작업 관리'!$A$9:$A$61,0)),M$8&lt;=INDEX('작업 관리'!$F$9:$F$61,MATCH($A31,'작업 관리'!$A$9:$A$61,0))),1,"")</f>
        <v/>
      </c>
      <c r="N31" s="50" t="str">
        <f>IF(AND(N$8&gt;=INDEX('작업 관리'!$E$9:$E$61,MATCH($A31,'작업 관리'!$A$9:$A$61,0)),N$8&lt;=INDEX('작업 관리'!$F$9:$F$61,MATCH($A31,'작업 관리'!$A$9:$A$61,0))),1,"")</f>
        <v/>
      </c>
      <c r="O31" s="50" t="str">
        <f>IF(AND(O$8&gt;=INDEX('작업 관리'!$E$9:$E$61,MATCH($A31,'작업 관리'!$A$9:$A$61,0)),O$8&lt;=INDEX('작업 관리'!$F$9:$F$61,MATCH($A31,'작업 관리'!$A$9:$A$61,0))),1,"")</f>
        <v/>
      </c>
      <c r="P31" s="49" t="str">
        <f>IF(AND(P$8&gt;=INDEX('작업 관리'!$E$9:$E$61,MATCH($A31,'작업 관리'!$A$9:$A$61,0)),P$8&lt;=INDEX('작업 관리'!$F$9:$F$61,MATCH($A31,'작업 관리'!$A$9:$A$61,0))),1,"")</f>
        <v/>
      </c>
      <c r="Q31" s="49" t="str">
        <f>IF(AND(Q$8&gt;=INDEX('작업 관리'!$E$9:$E$61,MATCH($A31,'작업 관리'!$A$9:$A$61,0)),Q$8&lt;=INDEX('작업 관리'!$F$9:$F$61,MATCH($A31,'작업 관리'!$A$9:$A$61,0))),1,"")</f>
        <v/>
      </c>
      <c r="R31" s="49" t="str">
        <f>IF(AND(R$8&gt;=INDEX('작업 관리'!$E$9:$E$61,MATCH($A31,'작업 관리'!$A$9:$A$61,0)),R$8&lt;=INDEX('작업 관리'!$F$9:$F$61,MATCH($A31,'작업 관리'!$A$9:$A$61,0))),1,"")</f>
        <v/>
      </c>
      <c r="S31" s="49" t="str">
        <f>IF(AND(S$8&gt;=INDEX('작업 관리'!$E$9:$E$61,MATCH($A31,'작업 관리'!$A$9:$A$61,0)),S$8&lt;=INDEX('작업 관리'!$F$9:$F$61,MATCH($A31,'작업 관리'!$A$9:$A$61,0))),1,"")</f>
        <v/>
      </c>
    </row>
    <row r="32" spans="1:19" ht="16.5">
      <c r="A32" s="39" t="s">
        <v>133</v>
      </c>
      <c r="B32" s="15" t="s">
        <v>134</v>
      </c>
      <c r="C32" s="15" t="s">
        <v>91</v>
      </c>
      <c r="D32" s="51" t="str">
        <f>IF(AND(D$8&gt;=INDEX('작업 관리'!$E$9:$E$61,MATCH($A32,'작업 관리'!$A$9:$A$61,0)),D$8&lt;=INDEX('작업 관리'!$F$9:$F$61,MATCH($A32,'작업 관리'!$A$9:$A$61,0))),1,"")</f>
        <v/>
      </c>
      <c r="E32" s="51" t="str">
        <f>IF(AND(E$8&gt;=INDEX('작업 관리'!$E$9:$E$61,MATCH($A32,'작업 관리'!$A$9:$A$61,0)),E$8&lt;=INDEX('작업 관리'!$F$9:$F$61,MATCH($A32,'작업 관리'!$A$9:$A$61,0))),1,"")</f>
        <v/>
      </c>
      <c r="F32" s="51" t="str">
        <f>IF(AND(F$8&gt;=INDEX('작업 관리'!$E$9:$E$61,MATCH($A32,'작업 관리'!$A$9:$A$61,0)),F$8&lt;=INDEX('작업 관리'!$F$9:$F$61,MATCH($A32,'작업 관리'!$A$9:$A$61,0))),1,"")</f>
        <v/>
      </c>
      <c r="G32" s="50" t="str">
        <f>IF(AND(G$8&gt;=INDEX('작업 관리'!$E$9:$E$61,MATCH($A32,'작업 관리'!$A$9:$A$61,0)),G$8&lt;=INDEX('작업 관리'!$F$9:$F$61,MATCH($A32,'작업 관리'!$A$9:$A$61,0))),1,"")</f>
        <v/>
      </c>
      <c r="H32" s="50" t="str">
        <f>IF(AND(H$8&gt;=INDEX('작업 관리'!$E$9:$E$61,MATCH($A32,'작업 관리'!$A$9:$A$61,0)),H$8&lt;=INDEX('작업 관리'!$F$9:$F$61,MATCH($A32,'작업 관리'!$A$9:$A$61,0))),1,"")</f>
        <v/>
      </c>
      <c r="I32" s="51" t="str">
        <f>IF(AND(I$8&gt;=INDEX('작업 관리'!$E$9:$E$61,MATCH($A32,'작업 관리'!$A$9:$A$61,0)),I$8&lt;=INDEX('작업 관리'!$F$9:$F$61,MATCH($A32,'작업 관리'!$A$9:$A$61,0))),1,"")</f>
        <v/>
      </c>
      <c r="J32" s="51">
        <f>IF(AND(J$8&gt;=INDEX('작업 관리'!$E$9:$E$61,MATCH($A32,'작업 관리'!$A$9:$A$61,0)),J$8&lt;=INDEX('작업 관리'!$F$9:$F$61,MATCH($A32,'작업 관리'!$A$9:$A$61,0))),1,"")</f>
        <v>1</v>
      </c>
      <c r="K32" s="51">
        <f>IF(AND(K$8&gt;=INDEX('작업 관리'!$E$9:$E$61,MATCH($A32,'작업 관리'!$A$9:$A$61,0)),K$8&lt;=INDEX('작업 관리'!$F$9:$F$61,MATCH($A32,'작업 관리'!$A$9:$A$61,0))),1,"")</f>
        <v>1</v>
      </c>
      <c r="L32" s="51" t="str">
        <f>IF(AND(L$8&gt;=INDEX('작업 관리'!$E$9:$E$61,MATCH($A32,'작업 관리'!$A$9:$A$61,0)),L$8&lt;=INDEX('작업 관리'!$F$9:$F$61,MATCH($A32,'작업 관리'!$A$9:$A$61,0))),1,"")</f>
        <v/>
      </c>
      <c r="M32" s="51" t="str">
        <f>IF(AND(M$8&gt;=INDEX('작업 관리'!$E$9:$E$61,MATCH($A32,'작업 관리'!$A$9:$A$61,0)),M$8&lt;=INDEX('작업 관리'!$F$9:$F$61,MATCH($A32,'작업 관리'!$A$9:$A$61,0))),1,"")</f>
        <v/>
      </c>
      <c r="N32" s="50" t="str">
        <f>IF(AND(N$8&gt;=INDEX('작업 관리'!$E$9:$E$61,MATCH($A32,'작업 관리'!$A$9:$A$61,0)),N$8&lt;=INDEX('작업 관리'!$F$9:$F$61,MATCH($A32,'작업 관리'!$A$9:$A$61,0))),1,"")</f>
        <v/>
      </c>
      <c r="O32" s="50" t="str">
        <f>IF(AND(O$8&gt;=INDEX('작업 관리'!$E$9:$E$61,MATCH($A32,'작업 관리'!$A$9:$A$61,0)),O$8&lt;=INDEX('작업 관리'!$F$9:$F$61,MATCH($A32,'작업 관리'!$A$9:$A$61,0))),1,"")</f>
        <v/>
      </c>
      <c r="P32" s="51" t="str">
        <f>IF(AND(P$8&gt;=INDEX('작업 관리'!$E$9:$E$61,MATCH($A32,'작업 관리'!$A$9:$A$61,0)),P$8&lt;=INDEX('작업 관리'!$F$9:$F$61,MATCH($A32,'작업 관리'!$A$9:$A$61,0))),1,"")</f>
        <v/>
      </c>
      <c r="Q32" s="51" t="str">
        <f>IF(AND(Q$8&gt;=INDEX('작업 관리'!$E$9:$E$61,MATCH($A32,'작업 관리'!$A$9:$A$61,0)),Q$8&lt;=INDEX('작업 관리'!$F$9:$F$61,MATCH($A32,'작업 관리'!$A$9:$A$61,0))),1,"")</f>
        <v/>
      </c>
      <c r="R32" s="51" t="str">
        <f>IF(AND(R$8&gt;=INDEX('작업 관리'!$E$9:$E$61,MATCH($A32,'작업 관리'!$A$9:$A$61,0)),R$8&lt;=INDEX('작업 관리'!$F$9:$F$61,MATCH($A32,'작업 관리'!$A$9:$A$61,0))),1,"")</f>
        <v/>
      </c>
      <c r="S32" s="51" t="str">
        <f>IF(AND(S$8&gt;=INDEX('작업 관리'!$E$9:$E$61,MATCH($A32,'작업 관리'!$A$9:$A$61,0)),S$8&lt;=INDEX('작업 관리'!$F$9:$F$61,MATCH($A32,'작업 관리'!$A$9:$A$61,0))),1,"")</f>
        <v/>
      </c>
    </row>
    <row r="33" spans="1:19" ht="16.5">
      <c r="A33" s="48" t="s">
        <v>135</v>
      </c>
      <c r="B33" s="1" t="s">
        <v>136</v>
      </c>
      <c r="C33" s="1" t="s">
        <v>88</v>
      </c>
      <c r="D33" s="49" t="str">
        <f>IF(AND(D$8&gt;=INDEX('작업 관리'!$E$9:$E$61,MATCH($A33,'작업 관리'!$A$9:$A$61,0)),D$8&lt;=INDEX('작업 관리'!$F$9:$F$61,MATCH($A33,'작업 관리'!$A$9:$A$61,0))),1,"")</f>
        <v/>
      </c>
      <c r="E33" s="49" t="str">
        <f>IF(AND(E$8&gt;=INDEX('작업 관리'!$E$9:$E$61,MATCH($A33,'작업 관리'!$A$9:$A$61,0)),E$8&lt;=INDEX('작업 관리'!$F$9:$F$61,MATCH($A33,'작업 관리'!$A$9:$A$61,0))),1,"")</f>
        <v/>
      </c>
      <c r="F33" s="49" t="str">
        <f>IF(AND(F$8&gt;=INDEX('작업 관리'!$E$9:$E$61,MATCH($A33,'작업 관리'!$A$9:$A$61,0)),F$8&lt;=INDEX('작업 관리'!$F$9:$F$61,MATCH($A33,'작업 관리'!$A$9:$A$61,0))),1,"")</f>
        <v/>
      </c>
      <c r="G33" s="50" t="str">
        <f>IF(AND(G$8&gt;=INDEX('작업 관리'!$E$9:$E$61,MATCH($A33,'작업 관리'!$A$9:$A$61,0)),G$8&lt;=INDEX('작업 관리'!$F$9:$F$61,MATCH($A33,'작업 관리'!$A$9:$A$61,0))),1,"")</f>
        <v/>
      </c>
      <c r="H33" s="50" t="str">
        <f>IF(AND(H$8&gt;=INDEX('작업 관리'!$E$9:$E$61,MATCH($A33,'작업 관리'!$A$9:$A$61,0)),H$8&lt;=INDEX('작업 관리'!$F$9:$F$61,MATCH($A33,'작업 관리'!$A$9:$A$61,0))),1,"")</f>
        <v/>
      </c>
      <c r="I33" s="49" t="str">
        <f>IF(AND(I$8&gt;=INDEX('작업 관리'!$E$9:$E$61,MATCH($A33,'작업 관리'!$A$9:$A$61,0)),I$8&lt;=INDEX('작업 관리'!$F$9:$F$61,MATCH($A33,'작업 관리'!$A$9:$A$61,0))),1,"")</f>
        <v/>
      </c>
      <c r="J33" s="49">
        <f>IF(AND(J$8&gt;=INDEX('작업 관리'!$E$9:$E$61,MATCH($A33,'작업 관리'!$A$9:$A$61,0)),J$8&lt;=INDEX('작업 관리'!$F$9:$F$61,MATCH($A33,'작업 관리'!$A$9:$A$61,0))),1,"")</f>
        <v>1</v>
      </c>
      <c r="K33" s="49">
        <f>IF(AND(K$8&gt;=INDEX('작업 관리'!$E$9:$E$61,MATCH($A33,'작업 관리'!$A$9:$A$61,0)),K$8&lt;=INDEX('작업 관리'!$F$9:$F$61,MATCH($A33,'작업 관리'!$A$9:$A$61,0))),1,"")</f>
        <v>1</v>
      </c>
      <c r="L33" s="49" t="str">
        <f>IF(AND(L$8&gt;=INDEX('작업 관리'!$E$9:$E$61,MATCH($A33,'작업 관리'!$A$9:$A$61,0)),L$8&lt;=INDEX('작업 관리'!$F$9:$F$61,MATCH($A33,'작업 관리'!$A$9:$A$61,0))),1,"")</f>
        <v/>
      </c>
      <c r="M33" s="49" t="str">
        <f>IF(AND(M$8&gt;=INDEX('작업 관리'!$E$9:$E$61,MATCH($A33,'작업 관리'!$A$9:$A$61,0)),M$8&lt;=INDEX('작업 관리'!$F$9:$F$61,MATCH($A33,'작업 관리'!$A$9:$A$61,0))),1,"")</f>
        <v/>
      </c>
      <c r="N33" s="50" t="str">
        <f>IF(AND(N$8&gt;=INDEX('작업 관리'!$E$9:$E$61,MATCH($A33,'작업 관리'!$A$9:$A$61,0)),N$8&lt;=INDEX('작업 관리'!$F$9:$F$61,MATCH($A33,'작업 관리'!$A$9:$A$61,0))),1,"")</f>
        <v/>
      </c>
      <c r="O33" s="50" t="str">
        <f>IF(AND(O$8&gt;=INDEX('작업 관리'!$E$9:$E$61,MATCH($A33,'작업 관리'!$A$9:$A$61,0)),O$8&lt;=INDEX('작업 관리'!$F$9:$F$61,MATCH($A33,'작업 관리'!$A$9:$A$61,0))),1,"")</f>
        <v/>
      </c>
      <c r="P33" s="49" t="str">
        <f>IF(AND(P$8&gt;=INDEX('작업 관리'!$E$9:$E$61,MATCH($A33,'작업 관리'!$A$9:$A$61,0)),P$8&lt;=INDEX('작업 관리'!$F$9:$F$61,MATCH($A33,'작업 관리'!$A$9:$A$61,0))),1,"")</f>
        <v/>
      </c>
      <c r="Q33" s="49" t="str">
        <f>IF(AND(Q$8&gt;=INDEX('작업 관리'!$E$9:$E$61,MATCH($A33,'작업 관리'!$A$9:$A$61,0)),Q$8&lt;=INDEX('작업 관리'!$F$9:$F$61,MATCH($A33,'작업 관리'!$A$9:$A$61,0))),1,"")</f>
        <v/>
      </c>
      <c r="R33" s="49" t="str">
        <f>IF(AND(R$8&gt;=INDEX('작업 관리'!$E$9:$E$61,MATCH($A33,'작업 관리'!$A$9:$A$61,0)),R$8&lt;=INDEX('작업 관리'!$F$9:$F$61,MATCH($A33,'작업 관리'!$A$9:$A$61,0))),1,"")</f>
        <v/>
      </c>
      <c r="S33" s="49" t="str">
        <f>IF(AND(S$8&gt;=INDEX('작업 관리'!$E$9:$E$61,MATCH($A33,'작업 관리'!$A$9:$A$61,0)),S$8&lt;=INDEX('작업 관리'!$F$9:$F$61,MATCH($A33,'작업 관리'!$A$9:$A$61,0))),1,"")</f>
        <v/>
      </c>
    </row>
    <row r="34" spans="1:19" ht="16.5">
      <c r="A34" s="39" t="s">
        <v>137</v>
      </c>
      <c r="B34" s="15" t="s">
        <v>138</v>
      </c>
      <c r="C34" s="15" t="s">
        <v>122</v>
      </c>
      <c r="D34" s="51" t="str">
        <f>IF(AND(D$8&gt;=INDEX('작업 관리'!$E$9:$E$61,MATCH($A34,'작업 관리'!$A$9:$A$61,0)),D$8&lt;=INDEX('작업 관리'!$F$9:$F$61,MATCH($A34,'작업 관리'!$A$9:$A$61,0))),1,"")</f>
        <v/>
      </c>
      <c r="E34" s="51" t="str">
        <f>IF(AND(E$8&gt;=INDEX('작업 관리'!$E$9:$E$61,MATCH($A34,'작업 관리'!$A$9:$A$61,0)),E$8&lt;=INDEX('작업 관리'!$F$9:$F$61,MATCH($A34,'작업 관리'!$A$9:$A$61,0))),1,"")</f>
        <v/>
      </c>
      <c r="F34" s="51" t="str">
        <f>IF(AND(F$8&gt;=INDEX('작업 관리'!$E$9:$E$61,MATCH($A34,'작업 관리'!$A$9:$A$61,0)),F$8&lt;=INDEX('작업 관리'!$F$9:$F$61,MATCH($A34,'작업 관리'!$A$9:$A$61,0))),1,"")</f>
        <v/>
      </c>
      <c r="G34" s="50" t="str">
        <f>IF(AND(G$8&gt;=INDEX('작업 관리'!$E$9:$E$61,MATCH($A34,'작업 관리'!$A$9:$A$61,0)),G$8&lt;=INDEX('작업 관리'!$F$9:$F$61,MATCH($A34,'작업 관리'!$A$9:$A$61,0))),1,"")</f>
        <v/>
      </c>
      <c r="H34" s="50" t="str">
        <f>IF(AND(H$8&gt;=INDEX('작업 관리'!$E$9:$E$61,MATCH($A34,'작업 관리'!$A$9:$A$61,0)),H$8&lt;=INDEX('작업 관리'!$F$9:$F$61,MATCH($A34,'작업 관리'!$A$9:$A$61,0))),1,"")</f>
        <v/>
      </c>
      <c r="I34" s="51" t="str">
        <f>IF(AND(I$8&gt;=INDEX('작업 관리'!$E$9:$E$61,MATCH($A34,'작업 관리'!$A$9:$A$61,0)),I$8&lt;=INDEX('작업 관리'!$F$9:$F$61,MATCH($A34,'작업 관리'!$A$9:$A$61,0))),1,"")</f>
        <v/>
      </c>
      <c r="J34" s="51">
        <f>IF(AND(J$8&gt;=INDEX('작업 관리'!$E$9:$E$61,MATCH($A34,'작업 관리'!$A$9:$A$61,0)),J$8&lt;=INDEX('작업 관리'!$F$9:$F$61,MATCH($A34,'작업 관리'!$A$9:$A$61,0))),1,"")</f>
        <v>1</v>
      </c>
      <c r="K34" s="51">
        <f>IF(AND(K$8&gt;=INDEX('작업 관리'!$E$9:$E$61,MATCH($A34,'작업 관리'!$A$9:$A$61,0)),K$8&lt;=INDEX('작업 관리'!$F$9:$F$61,MATCH($A34,'작업 관리'!$A$9:$A$61,0))),1,"")</f>
        <v>1</v>
      </c>
      <c r="L34" s="51" t="str">
        <f>IF(AND(L$8&gt;=INDEX('작업 관리'!$E$9:$E$61,MATCH($A34,'작업 관리'!$A$9:$A$61,0)),L$8&lt;=INDEX('작업 관리'!$F$9:$F$61,MATCH($A34,'작업 관리'!$A$9:$A$61,0))),1,"")</f>
        <v/>
      </c>
      <c r="M34" s="51" t="str">
        <f>IF(AND(M$8&gt;=INDEX('작업 관리'!$E$9:$E$61,MATCH($A34,'작업 관리'!$A$9:$A$61,0)),M$8&lt;=INDEX('작업 관리'!$F$9:$F$61,MATCH($A34,'작업 관리'!$A$9:$A$61,0))),1,"")</f>
        <v/>
      </c>
      <c r="N34" s="50" t="str">
        <f>IF(AND(N$8&gt;=INDEX('작업 관리'!$E$9:$E$61,MATCH($A34,'작업 관리'!$A$9:$A$61,0)),N$8&lt;=INDEX('작업 관리'!$F$9:$F$61,MATCH($A34,'작업 관리'!$A$9:$A$61,0))),1,"")</f>
        <v/>
      </c>
      <c r="O34" s="50" t="str">
        <f>IF(AND(O$8&gt;=INDEX('작업 관리'!$E$9:$E$61,MATCH($A34,'작업 관리'!$A$9:$A$61,0)),O$8&lt;=INDEX('작업 관리'!$F$9:$F$61,MATCH($A34,'작업 관리'!$A$9:$A$61,0))),1,"")</f>
        <v/>
      </c>
      <c r="P34" s="51" t="str">
        <f>IF(AND(P$8&gt;=INDEX('작업 관리'!$E$9:$E$61,MATCH($A34,'작업 관리'!$A$9:$A$61,0)),P$8&lt;=INDEX('작업 관리'!$F$9:$F$61,MATCH($A34,'작업 관리'!$A$9:$A$61,0))),1,"")</f>
        <v/>
      </c>
      <c r="Q34" s="51" t="str">
        <f>IF(AND(Q$8&gt;=INDEX('작업 관리'!$E$9:$E$61,MATCH($A34,'작업 관리'!$A$9:$A$61,0)),Q$8&lt;=INDEX('작업 관리'!$F$9:$F$61,MATCH($A34,'작업 관리'!$A$9:$A$61,0))),1,"")</f>
        <v/>
      </c>
      <c r="R34" s="51" t="str">
        <f>IF(AND(R$8&gt;=INDEX('작업 관리'!$E$9:$E$61,MATCH($A34,'작업 관리'!$A$9:$A$61,0)),R$8&lt;=INDEX('작업 관리'!$F$9:$F$61,MATCH($A34,'작업 관리'!$A$9:$A$61,0))),1,"")</f>
        <v/>
      </c>
      <c r="S34" s="51" t="str">
        <f>IF(AND(S$8&gt;=INDEX('작업 관리'!$E$9:$E$61,MATCH($A34,'작업 관리'!$A$9:$A$61,0)),S$8&lt;=INDEX('작업 관리'!$F$9:$F$61,MATCH($A34,'작업 관리'!$A$9:$A$61,0))),1,"")</f>
        <v/>
      </c>
    </row>
    <row r="35" spans="1:19" ht="16.5">
      <c r="A35" s="48" t="s">
        <v>139</v>
      </c>
      <c r="B35" s="1" t="s">
        <v>140</v>
      </c>
      <c r="C35" s="1" t="s">
        <v>122</v>
      </c>
      <c r="D35" s="49" t="str">
        <f>IF(AND(D$8&gt;=INDEX('작업 관리'!$E$9:$E$61,MATCH($A35,'작업 관리'!$A$9:$A$61,0)),D$8&lt;=INDEX('작업 관리'!$F$9:$F$61,MATCH($A35,'작업 관리'!$A$9:$A$61,0))),1,"")</f>
        <v/>
      </c>
      <c r="E35" s="49" t="str">
        <f>IF(AND(E$8&gt;=INDEX('작업 관리'!$E$9:$E$61,MATCH($A35,'작업 관리'!$A$9:$A$61,0)),E$8&lt;=INDEX('작업 관리'!$F$9:$F$61,MATCH($A35,'작업 관리'!$A$9:$A$61,0))),1,"")</f>
        <v/>
      </c>
      <c r="F35" s="49" t="str">
        <f>IF(AND(F$8&gt;=INDEX('작업 관리'!$E$9:$E$61,MATCH($A35,'작업 관리'!$A$9:$A$61,0)),F$8&lt;=INDEX('작업 관리'!$F$9:$F$61,MATCH($A35,'작업 관리'!$A$9:$A$61,0))),1,"")</f>
        <v/>
      </c>
      <c r="G35" s="50" t="str">
        <f>IF(AND(G$8&gt;=INDEX('작업 관리'!$E$9:$E$61,MATCH($A35,'작업 관리'!$A$9:$A$61,0)),G$8&lt;=INDEX('작업 관리'!$F$9:$F$61,MATCH($A35,'작업 관리'!$A$9:$A$61,0))),1,"")</f>
        <v/>
      </c>
      <c r="H35" s="50" t="str">
        <f>IF(AND(H$8&gt;=INDEX('작업 관리'!$E$9:$E$61,MATCH($A35,'작업 관리'!$A$9:$A$61,0)),H$8&lt;=INDEX('작업 관리'!$F$9:$F$61,MATCH($A35,'작업 관리'!$A$9:$A$61,0))),1,"")</f>
        <v/>
      </c>
      <c r="I35" s="49" t="str">
        <f>IF(AND(I$8&gt;=INDEX('작업 관리'!$E$9:$E$61,MATCH($A35,'작업 관리'!$A$9:$A$61,0)),I$8&lt;=INDEX('작업 관리'!$F$9:$F$61,MATCH($A35,'작업 관리'!$A$9:$A$61,0))),1,"")</f>
        <v/>
      </c>
      <c r="J35" s="49" t="str">
        <f>IF(AND(J$8&gt;=INDEX('작업 관리'!$E$9:$E$61,MATCH($A35,'작업 관리'!$A$9:$A$61,0)),J$8&lt;=INDEX('작업 관리'!$F$9:$F$61,MATCH($A35,'작업 관리'!$A$9:$A$61,0))),1,"")</f>
        <v/>
      </c>
      <c r="K35" s="49">
        <f>IF(AND(K$8&gt;=INDEX('작업 관리'!$E$9:$E$61,MATCH($A35,'작업 관리'!$A$9:$A$61,0)),K$8&lt;=INDEX('작업 관리'!$F$9:$F$61,MATCH($A35,'작업 관리'!$A$9:$A$61,0))),1,"")</f>
        <v>1</v>
      </c>
      <c r="L35" s="49">
        <f>IF(AND(L$8&gt;=INDEX('작업 관리'!$E$9:$E$61,MATCH($A35,'작업 관리'!$A$9:$A$61,0)),L$8&lt;=INDEX('작업 관리'!$F$9:$F$61,MATCH($A35,'작업 관리'!$A$9:$A$61,0))),1,"")</f>
        <v>1</v>
      </c>
      <c r="M35" s="49">
        <f>IF(AND(M$8&gt;=INDEX('작업 관리'!$E$9:$E$61,MATCH($A35,'작업 관리'!$A$9:$A$61,0)),M$8&lt;=INDEX('작업 관리'!$F$9:$F$61,MATCH($A35,'작업 관리'!$A$9:$A$61,0))),1,"")</f>
        <v>1</v>
      </c>
      <c r="N35" s="50" t="str">
        <f>IF(AND(N$8&gt;=INDEX('작업 관리'!$E$9:$E$61,MATCH($A35,'작업 관리'!$A$9:$A$61,0)),N$8&lt;=INDEX('작업 관리'!$F$9:$F$61,MATCH($A35,'작업 관리'!$A$9:$A$61,0))),1,"")</f>
        <v/>
      </c>
      <c r="O35" s="50" t="str">
        <f>IF(AND(O$8&gt;=INDEX('작업 관리'!$E$9:$E$61,MATCH($A35,'작업 관리'!$A$9:$A$61,0)),O$8&lt;=INDEX('작업 관리'!$F$9:$F$61,MATCH($A35,'작업 관리'!$A$9:$A$61,0))),1,"")</f>
        <v/>
      </c>
      <c r="P35" s="49" t="str">
        <f>IF(AND(P$8&gt;=INDEX('작업 관리'!$E$9:$E$61,MATCH($A35,'작업 관리'!$A$9:$A$61,0)),P$8&lt;=INDEX('작업 관리'!$F$9:$F$61,MATCH($A35,'작업 관리'!$A$9:$A$61,0))),1,"")</f>
        <v/>
      </c>
      <c r="Q35" s="49" t="str">
        <f>IF(AND(Q$8&gt;=INDEX('작업 관리'!$E$9:$E$61,MATCH($A35,'작업 관리'!$A$9:$A$61,0)),Q$8&lt;=INDEX('작업 관리'!$F$9:$F$61,MATCH($A35,'작업 관리'!$A$9:$A$61,0))),1,"")</f>
        <v/>
      </c>
      <c r="R35" s="49" t="str">
        <f>IF(AND(R$8&gt;=INDEX('작업 관리'!$E$9:$E$61,MATCH($A35,'작업 관리'!$A$9:$A$61,0)),R$8&lt;=INDEX('작업 관리'!$F$9:$F$61,MATCH($A35,'작업 관리'!$A$9:$A$61,0))),1,"")</f>
        <v/>
      </c>
      <c r="S35" s="49" t="str">
        <f>IF(AND(S$8&gt;=INDEX('작업 관리'!$E$9:$E$61,MATCH($A35,'작업 관리'!$A$9:$A$61,0)),S$8&lt;=INDEX('작업 관리'!$F$9:$F$61,MATCH($A35,'작업 관리'!$A$9:$A$61,0))),1,"")</f>
        <v/>
      </c>
    </row>
    <row r="36" spans="1:19" ht="16.5">
      <c r="A36" s="39" t="s">
        <v>141</v>
      </c>
      <c r="B36" s="15" t="s">
        <v>142</v>
      </c>
      <c r="C36" s="15" t="s">
        <v>88</v>
      </c>
      <c r="D36" s="51" t="str">
        <f>IF(AND(D$8&gt;=INDEX('작업 관리'!$E$9:$E$61,MATCH($A36,'작업 관리'!$A$9:$A$61,0)),D$8&lt;=INDEX('작업 관리'!$F$9:$F$61,MATCH($A36,'작업 관리'!$A$9:$A$61,0))),1,"")</f>
        <v/>
      </c>
      <c r="E36" s="51" t="str">
        <f>IF(AND(E$8&gt;=INDEX('작업 관리'!$E$9:$E$61,MATCH($A36,'작업 관리'!$A$9:$A$61,0)),E$8&lt;=INDEX('작업 관리'!$F$9:$F$61,MATCH($A36,'작업 관리'!$A$9:$A$61,0))),1,"")</f>
        <v/>
      </c>
      <c r="F36" s="51" t="str">
        <f>IF(AND(F$8&gt;=INDEX('작업 관리'!$E$9:$E$61,MATCH($A36,'작업 관리'!$A$9:$A$61,0)),F$8&lt;=INDEX('작업 관리'!$F$9:$F$61,MATCH($A36,'작업 관리'!$A$9:$A$61,0))),1,"")</f>
        <v/>
      </c>
      <c r="G36" s="50" t="str">
        <f>IF(AND(G$8&gt;=INDEX('작업 관리'!$E$9:$E$61,MATCH($A36,'작업 관리'!$A$9:$A$61,0)),G$8&lt;=INDEX('작업 관리'!$F$9:$F$61,MATCH($A36,'작업 관리'!$A$9:$A$61,0))),1,"")</f>
        <v/>
      </c>
      <c r="H36" s="50" t="str">
        <f>IF(AND(H$8&gt;=INDEX('작업 관리'!$E$9:$E$61,MATCH($A36,'작업 관리'!$A$9:$A$61,0)),H$8&lt;=INDEX('작업 관리'!$F$9:$F$61,MATCH($A36,'작업 관리'!$A$9:$A$61,0))),1,"")</f>
        <v/>
      </c>
      <c r="I36" s="51" t="str">
        <f>IF(AND(I$8&gt;=INDEX('작업 관리'!$E$9:$E$61,MATCH($A36,'작업 관리'!$A$9:$A$61,0)),I$8&lt;=INDEX('작업 관리'!$F$9:$F$61,MATCH($A36,'작업 관리'!$A$9:$A$61,0))),1,"")</f>
        <v/>
      </c>
      <c r="J36" s="51" t="str">
        <f>IF(AND(J$8&gt;=INDEX('작업 관리'!$E$9:$E$61,MATCH($A36,'작업 관리'!$A$9:$A$61,0)),J$8&lt;=INDEX('작업 관리'!$F$9:$F$61,MATCH($A36,'작업 관리'!$A$9:$A$61,0))),1,"")</f>
        <v/>
      </c>
      <c r="K36" s="51" t="str">
        <f>IF(AND(K$8&gt;=INDEX('작업 관리'!$E$9:$E$61,MATCH($A36,'작업 관리'!$A$9:$A$61,0)),K$8&lt;=INDEX('작업 관리'!$F$9:$F$61,MATCH($A36,'작업 관리'!$A$9:$A$61,0))),1,"")</f>
        <v/>
      </c>
      <c r="L36" s="51">
        <f>IF(AND(L$8&gt;=INDEX('작업 관리'!$E$9:$E$61,MATCH($A36,'작업 관리'!$A$9:$A$61,0)),L$8&lt;=INDEX('작업 관리'!$F$9:$F$61,MATCH($A36,'작업 관리'!$A$9:$A$61,0))),1,"")</f>
        <v>1</v>
      </c>
      <c r="M36" s="51">
        <f>IF(AND(M$8&gt;=INDEX('작업 관리'!$E$9:$E$61,MATCH($A36,'작업 관리'!$A$9:$A$61,0)),M$8&lt;=INDEX('작업 관리'!$F$9:$F$61,MATCH($A36,'작업 관리'!$A$9:$A$61,0))),1,"")</f>
        <v>1</v>
      </c>
      <c r="N36" s="50" t="str">
        <f>IF(AND(N$8&gt;=INDEX('작업 관리'!$E$9:$E$61,MATCH($A36,'작업 관리'!$A$9:$A$61,0)),N$8&lt;=INDEX('작업 관리'!$F$9:$F$61,MATCH($A36,'작업 관리'!$A$9:$A$61,0))),1,"")</f>
        <v/>
      </c>
      <c r="O36" s="50" t="str">
        <f>IF(AND(O$8&gt;=INDEX('작업 관리'!$E$9:$E$61,MATCH($A36,'작업 관리'!$A$9:$A$61,0)),O$8&lt;=INDEX('작업 관리'!$F$9:$F$61,MATCH($A36,'작업 관리'!$A$9:$A$61,0))),1,"")</f>
        <v/>
      </c>
      <c r="P36" s="51" t="str">
        <f>IF(AND(P$8&gt;=INDEX('작업 관리'!$E$9:$E$61,MATCH($A36,'작업 관리'!$A$9:$A$61,0)),P$8&lt;=INDEX('작업 관리'!$F$9:$F$61,MATCH($A36,'작업 관리'!$A$9:$A$61,0))),1,"")</f>
        <v/>
      </c>
      <c r="Q36" s="51" t="str">
        <f>IF(AND(Q$8&gt;=INDEX('작업 관리'!$E$9:$E$61,MATCH($A36,'작업 관리'!$A$9:$A$61,0)),Q$8&lt;=INDEX('작업 관리'!$F$9:$F$61,MATCH($A36,'작업 관리'!$A$9:$A$61,0))),1,"")</f>
        <v/>
      </c>
      <c r="R36" s="51" t="str">
        <f>IF(AND(R$8&gt;=INDEX('작업 관리'!$E$9:$E$61,MATCH($A36,'작업 관리'!$A$9:$A$61,0)),R$8&lt;=INDEX('작업 관리'!$F$9:$F$61,MATCH($A36,'작업 관리'!$A$9:$A$61,0))),1,"")</f>
        <v/>
      </c>
      <c r="S36" s="51" t="str">
        <f>IF(AND(S$8&gt;=INDEX('작업 관리'!$E$9:$E$61,MATCH($A36,'작업 관리'!$A$9:$A$61,0)),S$8&lt;=INDEX('작업 관리'!$F$9:$F$61,MATCH($A36,'작업 관리'!$A$9:$A$61,0))),1,"")</f>
        <v/>
      </c>
    </row>
    <row r="37" spans="1:19" ht="16.5">
      <c r="A37" s="48" t="s">
        <v>143</v>
      </c>
      <c r="B37" s="1" t="s">
        <v>144</v>
      </c>
      <c r="C37" s="1" t="s">
        <v>122</v>
      </c>
      <c r="D37" s="49" t="str">
        <f>IF(AND(D$8&gt;=INDEX('작업 관리'!$E$9:$E$61,MATCH($A37,'작업 관리'!$A$9:$A$61,0)),D$8&lt;=INDEX('작업 관리'!$F$9:$F$61,MATCH($A37,'작업 관리'!$A$9:$A$61,0))),1,"")</f>
        <v/>
      </c>
      <c r="E37" s="49" t="str">
        <f>IF(AND(E$8&gt;=INDEX('작업 관리'!$E$9:$E$61,MATCH($A37,'작업 관리'!$A$9:$A$61,0)),E$8&lt;=INDEX('작업 관리'!$F$9:$F$61,MATCH($A37,'작업 관리'!$A$9:$A$61,0))),1,"")</f>
        <v/>
      </c>
      <c r="F37" s="49" t="str">
        <f>IF(AND(F$8&gt;=INDEX('작업 관리'!$E$9:$E$61,MATCH($A37,'작업 관리'!$A$9:$A$61,0)),F$8&lt;=INDEX('작업 관리'!$F$9:$F$61,MATCH($A37,'작업 관리'!$A$9:$A$61,0))),1,"")</f>
        <v/>
      </c>
      <c r="G37" s="50" t="str">
        <f>IF(AND(G$8&gt;=INDEX('작업 관리'!$E$9:$E$61,MATCH($A37,'작업 관리'!$A$9:$A$61,0)),G$8&lt;=INDEX('작업 관리'!$F$9:$F$61,MATCH($A37,'작업 관리'!$A$9:$A$61,0))),1,"")</f>
        <v/>
      </c>
      <c r="H37" s="50" t="str">
        <f>IF(AND(H$8&gt;=INDEX('작업 관리'!$E$9:$E$61,MATCH($A37,'작업 관리'!$A$9:$A$61,0)),H$8&lt;=INDEX('작업 관리'!$F$9:$F$61,MATCH($A37,'작업 관리'!$A$9:$A$61,0))),1,"")</f>
        <v/>
      </c>
      <c r="I37" s="49" t="str">
        <f>IF(AND(I$8&gt;=INDEX('작업 관리'!$E$9:$E$61,MATCH($A37,'작업 관리'!$A$9:$A$61,0)),I$8&lt;=INDEX('작업 관리'!$F$9:$F$61,MATCH($A37,'작업 관리'!$A$9:$A$61,0))),1,"")</f>
        <v/>
      </c>
      <c r="J37" s="49" t="str">
        <f>IF(AND(J$8&gt;=INDEX('작업 관리'!$E$9:$E$61,MATCH($A37,'작업 관리'!$A$9:$A$61,0)),J$8&lt;=INDEX('작업 관리'!$F$9:$F$61,MATCH($A37,'작업 관리'!$A$9:$A$61,0))),1,"")</f>
        <v/>
      </c>
      <c r="K37" s="49" t="str">
        <f>IF(AND(K$8&gt;=INDEX('작업 관리'!$E$9:$E$61,MATCH($A37,'작업 관리'!$A$9:$A$61,0)),K$8&lt;=INDEX('작업 관리'!$F$9:$F$61,MATCH($A37,'작업 관리'!$A$9:$A$61,0))),1,"")</f>
        <v/>
      </c>
      <c r="L37" s="49">
        <f>IF(AND(L$8&gt;=INDEX('작업 관리'!$E$9:$E$61,MATCH($A37,'작업 관리'!$A$9:$A$61,0)),L$8&lt;=INDEX('작업 관리'!$F$9:$F$61,MATCH($A37,'작업 관리'!$A$9:$A$61,0))),1,"")</f>
        <v>1</v>
      </c>
      <c r="M37" s="49">
        <f>IF(AND(M$8&gt;=INDEX('작업 관리'!$E$9:$E$61,MATCH($A37,'작업 관리'!$A$9:$A$61,0)),M$8&lt;=INDEX('작업 관리'!$F$9:$F$61,MATCH($A37,'작업 관리'!$A$9:$A$61,0))),1,"")</f>
        <v>1</v>
      </c>
      <c r="N37" s="50" t="str">
        <f>IF(AND(N$8&gt;=INDEX('작업 관리'!$E$9:$E$61,MATCH($A37,'작업 관리'!$A$9:$A$61,0)),N$8&lt;=INDEX('작업 관리'!$F$9:$F$61,MATCH($A37,'작업 관리'!$A$9:$A$61,0))),1,"")</f>
        <v/>
      </c>
      <c r="O37" s="50" t="str">
        <f>IF(AND(O$8&gt;=INDEX('작업 관리'!$E$9:$E$61,MATCH($A37,'작업 관리'!$A$9:$A$61,0)),O$8&lt;=INDEX('작업 관리'!$F$9:$F$61,MATCH($A37,'작업 관리'!$A$9:$A$61,0))),1,"")</f>
        <v/>
      </c>
      <c r="P37" s="49" t="str">
        <f>IF(AND(P$8&gt;=INDEX('작업 관리'!$E$9:$E$61,MATCH($A37,'작업 관리'!$A$9:$A$61,0)),P$8&lt;=INDEX('작업 관리'!$F$9:$F$61,MATCH($A37,'작업 관리'!$A$9:$A$61,0))),1,"")</f>
        <v/>
      </c>
      <c r="Q37" s="49" t="str">
        <f>IF(AND(Q$8&gt;=INDEX('작업 관리'!$E$9:$E$61,MATCH($A37,'작업 관리'!$A$9:$A$61,0)),Q$8&lt;=INDEX('작업 관리'!$F$9:$F$61,MATCH($A37,'작업 관리'!$A$9:$A$61,0))),1,"")</f>
        <v/>
      </c>
      <c r="R37" s="49" t="str">
        <f>IF(AND(R$8&gt;=INDEX('작업 관리'!$E$9:$E$61,MATCH($A37,'작업 관리'!$A$9:$A$61,0)),R$8&lt;=INDEX('작업 관리'!$F$9:$F$61,MATCH($A37,'작업 관리'!$A$9:$A$61,0))),1,"")</f>
        <v/>
      </c>
      <c r="S37" s="49" t="str">
        <f>IF(AND(S$8&gt;=INDEX('작업 관리'!$E$9:$E$61,MATCH($A37,'작업 관리'!$A$9:$A$61,0)),S$8&lt;=INDEX('작업 관리'!$F$9:$F$61,MATCH($A37,'작업 관리'!$A$9:$A$61,0))),1,"")</f>
        <v/>
      </c>
    </row>
    <row r="38" spans="1:19" ht="16.5">
      <c r="A38" s="39" t="s">
        <v>145</v>
      </c>
      <c r="B38" s="15" t="s">
        <v>146</v>
      </c>
      <c r="C38" s="15" t="s">
        <v>8</v>
      </c>
      <c r="D38" s="51" t="str">
        <f>IF(AND(D$8&gt;=INDEX('작업 관리'!$E$9:$E$61,MATCH($A38,'작업 관리'!$A$9:$A$61,0)),D$8&lt;=INDEX('작업 관리'!$F$9:$F$61,MATCH($A38,'작업 관리'!$A$9:$A$61,0))),1,"")</f>
        <v/>
      </c>
      <c r="E38" s="51" t="str">
        <f>IF(AND(E$8&gt;=INDEX('작업 관리'!$E$9:$E$61,MATCH($A38,'작업 관리'!$A$9:$A$61,0)),E$8&lt;=INDEX('작업 관리'!$F$9:$F$61,MATCH($A38,'작업 관리'!$A$9:$A$61,0))),1,"")</f>
        <v/>
      </c>
      <c r="F38" s="51" t="str">
        <f>IF(AND(F$8&gt;=INDEX('작업 관리'!$E$9:$E$61,MATCH($A38,'작업 관리'!$A$9:$A$61,0)),F$8&lt;=INDEX('작업 관리'!$F$9:$F$61,MATCH($A38,'작업 관리'!$A$9:$A$61,0))),1,"")</f>
        <v/>
      </c>
      <c r="G38" s="50" t="str">
        <f>IF(AND(G$8&gt;=INDEX('작업 관리'!$E$9:$E$61,MATCH($A38,'작업 관리'!$A$9:$A$61,0)),G$8&lt;=INDEX('작업 관리'!$F$9:$F$61,MATCH($A38,'작업 관리'!$A$9:$A$61,0))),1,"")</f>
        <v/>
      </c>
      <c r="H38" s="50" t="str">
        <f>IF(AND(H$8&gt;=INDEX('작업 관리'!$E$9:$E$61,MATCH($A38,'작업 관리'!$A$9:$A$61,0)),H$8&lt;=INDEX('작업 관리'!$F$9:$F$61,MATCH($A38,'작업 관리'!$A$9:$A$61,0))),1,"")</f>
        <v/>
      </c>
      <c r="I38" s="51" t="str">
        <f>IF(AND(I$8&gt;=INDEX('작업 관리'!$E$9:$E$61,MATCH($A38,'작업 관리'!$A$9:$A$61,0)),I$8&lt;=INDEX('작업 관리'!$F$9:$F$61,MATCH($A38,'작업 관리'!$A$9:$A$61,0))),1,"")</f>
        <v/>
      </c>
      <c r="J38" s="51" t="str">
        <f>IF(AND(J$8&gt;=INDEX('작업 관리'!$E$9:$E$61,MATCH($A38,'작업 관리'!$A$9:$A$61,0)),J$8&lt;=INDEX('작업 관리'!$F$9:$F$61,MATCH($A38,'작업 관리'!$A$9:$A$61,0))),1,"")</f>
        <v/>
      </c>
      <c r="K38" s="51" t="str">
        <f>IF(AND(K$8&gt;=INDEX('작업 관리'!$E$9:$E$61,MATCH($A38,'작업 관리'!$A$9:$A$61,0)),K$8&lt;=INDEX('작업 관리'!$F$9:$F$61,MATCH($A38,'작업 관리'!$A$9:$A$61,0))),1,"")</f>
        <v/>
      </c>
      <c r="L38" s="51" t="str">
        <f>IF(AND(L$8&gt;=INDEX('작업 관리'!$E$9:$E$61,MATCH($A38,'작업 관리'!$A$9:$A$61,0)),L$8&lt;=INDEX('작업 관리'!$F$9:$F$61,MATCH($A38,'작업 관리'!$A$9:$A$61,0))),1,"")</f>
        <v/>
      </c>
      <c r="M38" s="51">
        <f>IF(AND(M$8&gt;=INDEX('작업 관리'!$E$9:$E$61,MATCH($A38,'작업 관리'!$A$9:$A$61,0)),M$8&lt;=INDEX('작업 관리'!$F$9:$F$61,MATCH($A38,'작업 관리'!$A$9:$A$61,0))),1,"")</f>
        <v>1</v>
      </c>
      <c r="N38" s="50" t="str">
        <f>IF(AND(N$8&gt;=INDEX('작업 관리'!$E$9:$E$61,MATCH($A38,'작업 관리'!$A$9:$A$61,0)),N$8&lt;=INDEX('작업 관리'!$F$9:$F$61,MATCH($A38,'작업 관리'!$A$9:$A$61,0))),1,"")</f>
        <v/>
      </c>
      <c r="O38" s="50" t="str">
        <f>IF(AND(O$8&gt;=INDEX('작업 관리'!$E$9:$E$61,MATCH($A38,'작업 관리'!$A$9:$A$61,0)),O$8&lt;=INDEX('작업 관리'!$F$9:$F$61,MATCH($A38,'작업 관리'!$A$9:$A$61,0))),1,"")</f>
        <v/>
      </c>
      <c r="P38" s="51" t="str">
        <f>IF(AND(P$8&gt;=INDEX('작업 관리'!$E$9:$E$61,MATCH($A38,'작업 관리'!$A$9:$A$61,0)),P$8&lt;=INDEX('작업 관리'!$F$9:$F$61,MATCH($A38,'작업 관리'!$A$9:$A$61,0))),1,"")</f>
        <v/>
      </c>
      <c r="Q38" s="51" t="str">
        <f>IF(AND(Q$8&gt;=INDEX('작업 관리'!$E$9:$E$61,MATCH($A38,'작업 관리'!$A$9:$A$61,0)),Q$8&lt;=INDEX('작업 관리'!$F$9:$F$61,MATCH($A38,'작업 관리'!$A$9:$A$61,0))),1,"")</f>
        <v/>
      </c>
      <c r="R38" s="51" t="str">
        <f>IF(AND(R$8&gt;=INDEX('작업 관리'!$E$9:$E$61,MATCH($A38,'작업 관리'!$A$9:$A$61,0)),R$8&lt;=INDEX('작업 관리'!$F$9:$F$61,MATCH($A38,'작업 관리'!$A$9:$A$61,0))),1,"")</f>
        <v/>
      </c>
      <c r="S38" s="51" t="str">
        <f>IF(AND(S$8&gt;=INDEX('작업 관리'!$E$9:$E$61,MATCH($A38,'작업 관리'!$A$9:$A$61,0)),S$8&lt;=INDEX('작업 관리'!$F$9:$F$61,MATCH($A38,'작업 관리'!$A$9:$A$61,0))),1,"")</f>
        <v/>
      </c>
    </row>
    <row r="39" spans="1:19" ht="16.5">
      <c r="A39" s="48" t="s">
        <v>147</v>
      </c>
      <c r="B39" s="1" t="s">
        <v>148</v>
      </c>
      <c r="C39" s="1" t="s">
        <v>91</v>
      </c>
      <c r="D39" s="49" t="str">
        <f>IF(AND(D$8&gt;=INDEX('작업 관리'!$E$9:$E$61,MATCH($A39,'작업 관리'!$A$9:$A$61,0)),D$8&lt;=INDEX('작업 관리'!$F$9:$F$61,MATCH($A39,'작업 관리'!$A$9:$A$61,0))),1,"")</f>
        <v/>
      </c>
      <c r="E39" s="49" t="str">
        <f>IF(AND(E$8&gt;=INDEX('작업 관리'!$E$9:$E$61,MATCH($A39,'작업 관리'!$A$9:$A$61,0)),E$8&lt;=INDEX('작업 관리'!$F$9:$F$61,MATCH($A39,'작업 관리'!$A$9:$A$61,0))),1,"")</f>
        <v/>
      </c>
      <c r="F39" s="49" t="str">
        <f>IF(AND(F$8&gt;=INDEX('작업 관리'!$E$9:$E$61,MATCH($A39,'작업 관리'!$A$9:$A$61,0)),F$8&lt;=INDEX('작업 관리'!$F$9:$F$61,MATCH($A39,'작업 관리'!$A$9:$A$61,0))),1,"")</f>
        <v/>
      </c>
      <c r="G39" s="50" t="str">
        <f>IF(AND(G$8&gt;=INDEX('작업 관리'!$E$9:$E$61,MATCH($A39,'작업 관리'!$A$9:$A$61,0)),G$8&lt;=INDEX('작업 관리'!$F$9:$F$61,MATCH($A39,'작업 관리'!$A$9:$A$61,0))),1,"")</f>
        <v/>
      </c>
      <c r="H39" s="50" t="str">
        <f>IF(AND(H$8&gt;=INDEX('작업 관리'!$E$9:$E$61,MATCH($A39,'작업 관리'!$A$9:$A$61,0)),H$8&lt;=INDEX('작업 관리'!$F$9:$F$61,MATCH($A39,'작업 관리'!$A$9:$A$61,0))),1,"")</f>
        <v/>
      </c>
      <c r="I39" s="49">
        <f>IF(AND(I$8&gt;=INDEX('작업 관리'!$E$9:$E$61,MATCH($A39,'작업 관리'!$A$9:$A$61,0)),I$8&lt;=INDEX('작업 관리'!$F$9:$F$61,MATCH($A39,'작업 관리'!$A$9:$A$61,0))),1,"")</f>
        <v>1</v>
      </c>
      <c r="J39" s="49" t="str">
        <f>IF(AND(J$8&gt;=INDEX('작업 관리'!$E$9:$E$61,MATCH($A39,'작업 관리'!$A$9:$A$61,0)),J$8&lt;=INDEX('작업 관리'!$F$9:$F$61,MATCH($A39,'작업 관리'!$A$9:$A$61,0))),1,"")</f>
        <v/>
      </c>
      <c r="K39" s="49" t="str">
        <f>IF(AND(K$8&gt;=INDEX('작업 관리'!$E$9:$E$61,MATCH($A39,'작업 관리'!$A$9:$A$61,0)),K$8&lt;=INDEX('작업 관리'!$F$9:$F$61,MATCH($A39,'작업 관리'!$A$9:$A$61,0))),1,"")</f>
        <v/>
      </c>
      <c r="L39" s="49" t="str">
        <f>IF(AND(L$8&gt;=INDEX('작업 관리'!$E$9:$E$61,MATCH($A39,'작업 관리'!$A$9:$A$61,0)),L$8&lt;=INDEX('작업 관리'!$F$9:$F$61,MATCH($A39,'작업 관리'!$A$9:$A$61,0))),1,"")</f>
        <v/>
      </c>
      <c r="M39" s="49" t="str">
        <f>IF(AND(M$8&gt;=INDEX('작업 관리'!$E$9:$E$61,MATCH($A39,'작업 관리'!$A$9:$A$61,0)),M$8&lt;=INDEX('작업 관리'!$F$9:$F$61,MATCH($A39,'작업 관리'!$A$9:$A$61,0))),1,"")</f>
        <v/>
      </c>
      <c r="N39" s="50" t="str">
        <f>IF(AND(N$8&gt;=INDEX('작업 관리'!$E$9:$E$61,MATCH($A39,'작업 관리'!$A$9:$A$61,0)),N$8&lt;=INDEX('작업 관리'!$F$9:$F$61,MATCH($A39,'작업 관리'!$A$9:$A$61,0))),1,"")</f>
        <v/>
      </c>
      <c r="O39" s="50" t="str">
        <f>IF(AND(O$8&gt;=INDEX('작업 관리'!$E$9:$E$61,MATCH($A39,'작업 관리'!$A$9:$A$61,0)),O$8&lt;=INDEX('작업 관리'!$F$9:$F$61,MATCH($A39,'작업 관리'!$A$9:$A$61,0))),1,"")</f>
        <v/>
      </c>
      <c r="P39" s="49" t="str">
        <f>IF(AND(P$8&gt;=INDEX('작업 관리'!$E$9:$E$61,MATCH($A39,'작업 관리'!$A$9:$A$61,0)),P$8&lt;=INDEX('작업 관리'!$F$9:$F$61,MATCH($A39,'작업 관리'!$A$9:$A$61,0))),1,"")</f>
        <v/>
      </c>
      <c r="Q39" s="49" t="str">
        <f>IF(AND(Q$8&gt;=INDEX('작업 관리'!$E$9:$E$61,MATCH($A39,'작업 관리'!$A$9:$A$61,0)),Q$8&lt;=INDEX('작업 관리'!$F$9:$F$61,MATCH($A39,'작업 관리'!$A$9:$A$61,0))),1,"")</f>
        <v/>
      </c>
      <c r="R39" s="49" t="str">
        <f>IF(AND(R$8&gt;=INDEX('작업 관리'!$E$9:$E$61,MATCH($A39,'작업 관리'!$A$9:$A$61,0)),R$8&lt;=INDEX('작업 관리'!$F$9:$F$61,MATCH($A39,'작업 관리'!$A$9:$A$61,0))),1,"")</f>
        <v/>
      </c>
      <c r="S39" s="49" t="str">
        <f>IF(AND(S$8&gt;=INDEX('작업 관리'!$E$9:$E$61,MATCH($A39,'작업 관리'!$A$9:$A$61,0)),S$8&lt;=INDEX('작업 관리'!$F$9:$F$61,MATCH($A39,'작업 관리'!$A$9:$A$61,0))),1,"")</f>
        <v/>
      </c>
    </row>
    <row r="40" spans="1:19" ht="16.5">
      <c r="A40" s="39" t="s">
        <v>149</v>
      </c>
      <c r="B40" s="15" t="s">
        <v>150</v>
      </c>
      <c r="C40" s="15" t="s">
        <v>8</v>
      </c>
      <c r="D40" s="51" t="str">
        <f>IF(AND(D$8&gt;=INDEX('작업 관리'!$E$9:$E$61,MATCH($A40,'작업 관리'!$A$9:$A$61,0)),D$8&lt;=INDEX('작업 관리'!$F$9:$F$61,MATCH($A40,'작업 관리'!$A$9:$A$61,0))),1,"")</f>
        <v/>
      </c>
      <c r="E40" s="51" t="str">
        <f>IF(AND(E$8&gt;=INDEX('작업 관리'!$E$9:$E$61,MATCH($A40,'작업 관리'!$A$9:$A$61,0)),E$8&lt;=INDEX('작업 관리'!$F$9:$F$61,MATCH($A40,'작업 관리'!$A$9:$A$61,0))),1,"")</f>
        <v/>
      </c>
      <c r="F40" s="51" t="str">
        <f>IF(AND(F$8&gt;=INDEX('작업 관리'!$E$9:$E$61,MATCH($A40,'작업 관리'!$A$9:$A$61,0)),F$8&lt;=INDEX('작업 관리'!$F$9:$F$61,MATCH($A40,'작업 관리'!$A$9:$A$61,0))),1,"")</f>
        <v/>
      </c>
      <c r="G40" s="50" t="str">
        <f>IF(AND(G$8&gt;=INDEX('작업 관리'!$E$9:$E$61,MATCH($A40,'작업 관리'!$A$9:$A$61,0)),G$8&lt;=INDEX('작업 관리'!$F$9:$F$61,MATCH($A40,'작업 관리'!$A$9:$A$61,0))),1,"")</f>
        <v/>
      </c>
      <c r="H40" s="50" t="str">
        <f>IF(AND(H$8&gt;=INDEX('작업 관리'!$E$9:$E$61,MATCH($A40,'작업 관리'!$A$9:$A$61,0)),H$8&lt;=INDEX('작업 관리'!$F$9:$F$61,MATCH($A40,'작업 관리'!$A$9:$A$61,0))),1,"")</f>
        <v/>
      </c>
      <c r="I40" s="51">
        <f>IF(AND(I$8&gt;=INDEX('작업 관리'!$E$9:$E$61,MATCH($A40,'작업 관리'!$A$9:$A$61,0)),I$8&lt;=INDEX('작업 관리'!$F$9:$F$61,MATCH($A40,'작업 관리'!$A$9:$A$61,0))),1,"")</f>
        <v>1</v>
      </c>
      <c r="J40" s="51">
        <f>IF(AND(J$8&gt;=INDEX('작업 관리'!$E$9:$E$61,MATCH($A40,'작업 관리'!$A$9:$A$61,0)),J$8&lt;=INDEX('작업 관리'!$F$9:$F$61,MATCH($A40,'작업 관리'!$A$9:$A$61,0))),1,"")</f>
        <v>1</v>
      </c>
      <c r="K40" s="51" t="str">
        <f>IF(AND(K$8&gt;=INDEX('작업 관리'!$E$9:$E$61,MATCH($A40,'작업 관리'!$A$9:$A$61,0)),K$8&lt;=INDEX('작업 관리'!$F$9:$F$61,MATCH($A40,'작업 관리'!$A$9:$A$61,0))),1,"")</f>
        <v/>
      </c>
      <c r="L40" s="51" t="str">
        <f>IF(AND(L$8&gt;=INDEX('작업 관리'!$E$9:$E$61,MATCH($A40,'작업 관리'!$A$9:$A$61,0)),L$8&lt;=INDEX('작업 관리'!$F$9:$F$61,MATCH($A40,'작업 관리'!$A$9:$A$61,0))),1,"")</f>
        <v/>
      </c>
      <c r="M40" s="51" t="str">
        <f>IF(AND(M$8&gt;=INDEX('작업 관리'!$E$9:$E$61,MATCH($A40,'작업 관리'!$A$9:$A$61,0)),M$8&lt;=INDEX('작업 관리'!$F$9:$F$61,MATCH($A40,'작업 관리'!$A$9:$A$61,0))),1,"")</f>
        <v/>
      </c>
      <c r="N40" s="50" t="str">
        <f>IF(AND(N$8&gt;=INDEX('작업 관리'!$E$9:$E$61,MATCH($A40,'작업 관리'!$A$9:$A$61,0)),N$8&lt;=INDEX('작업 관리'!$F$9:$F$61,MATCH($A40,'작업 관리'!$A$9:$A$61,0))),1,"")</f>
        <v/>
      </c>
      <c r="O40" s="50" t="str">
        <f>IF(AND(O$8&gt;=INDEX('작업 관리'!$E$9:$E$61,MATCH($A40,'작업 관리'!$A$9:$A$61,0)),O$8&lt;=INDEX('작업 관리'!$F$9:$F$61,MATCH($A40,'작업 관리'!$A$9:$A$61,0))),1,"")</f>
        <v/>
      </c>
      <c r="P40" s="51" t="str">
        <f>IF(AND(P$8&gt;=INDEX('작업 관리'!$E$9:$E$61,MATCH($A40,'작업 관리'!$A$9:$A$61,0)),P$8&lt;=INDEX('작업 관리'!$F$9:$F$61,MATCH($A40,'작업 관리'!$A$9:$A$61,0))),1,"")</f>
        <v/>
      </c>
      <c r="Q40" s="51" t="str">
        <f>IF(AND(Q$8&gt;=INDEX('작업 관리'!$E$9:$E$61,MATCH($A40,'작업 관리'!$A$9:$A$61,0)),Q$8&lt;=INDEX('작업 관리'!$F$9:$F$61,MATCH($A40,'작업 관리'!$A$9:$A$61,0))),1,"")</f>
        <v/>
      </c>
      <c r="R40" s="51" t="str">
        <f>IF(AND(R$8&gt;=INDEX('작업 관리'!$E$9:$E$61,MATCH($A40,'작업 관리'!$A$9:$A$61,0)),R$8&lt;=INDEX('작업 관리'!$F$9:$F$61,MATCH($A40,'작업 관리'!$A$9:$A$61,0))),1,"")</f>
        <v/>
      </c>
      <c r="S40" s="51" t="str">
        <f>IF(AND(S$8&gt;=INDEX('작업 관리'!$E$9:$E$61,MATCH($A40,'작업 관리'!$A$9:$A$61,0)),S$8&lt;=INDEX('작업 관리'!$F$9:$F$61,MATCH($A40,'작업 관리'!$A$9:$A$61,0))),1,"")</f>
        <v/>
      </c>
    </row>
    <row r="41" spans="1:19" ht="16.5">
      <c r="A41" s="48" t="s">
        <v>151</v>
      </c>
      <c r="B41" s="1" t="s">
        <v>152</v>
      </c>
      <c r="C41" s="1" t="s">
        <v>8</v>
      </c>
      <c r="D41" s="49" t="str">
        <f>IF(AND(D$8&gt;=INDEX('작업 관리'!$E$9:$E$61,MATCH($A41,'작업 관리'!$A$9:$A$61,0)),D$8&lt;=INDEX('작업 관리'!$F$9:$F$61,MATCH($A41,'작업 관리'!$A$9:$A$61,0))),1,"")</f>
        <v/>
      </c>
      <c r="E41" s="49" t="str">
        <f>IF(AND(E$8&gt;=INDEX('작업 관리'!$E$9:$E$61,MATCH($A41,'작업 관리'!$A$9:$A$61,0)),E$8&lt;=INDEX('작업 관리'!$F$9:$F$61,MATCH($A41,'작업 관리'!$A$9:$A$61,0))),1,"")</f>
        <v/>
      </c>
      <c r="F41" s="49" t="str">
        <f>IF(AND(F$8&gt;=INDEX('작업 관리'!$E$9:$E$61,MATCH($A41,'작업 관리'!$A$9:$A$61,0)),F$8&lt;=INDEX('작업 관리'!$F$9:$F$61,MATCH($A41,'작업 관리'!$A$9:$A$61,0))),1,"")</f>
        <v/>
      </c>
      <c r="G41" s="50" t="str">
        <f>IF(AND(G$8&gt;=INDEX('작업 관리'!$E$9:$E$61,MATCH($A41,'작업 관리'!$A$9:$A$61,0)),G$8&lt;=INDEX('작업 관리'!$F$9:$F$61,MATCH($A41,'작업 관리'!$A$9:$A$61,0))),1,"")</f>
        <v/>
      </c>
      <c r="H41" s="50" t="str">
        <f>IF(AND(H$8&gt;=INDEX('작업 관리'!$E$9:$E$61,MATCH($A41,'작업 관리'!$A$9:$A$61,0)),H$8&lt;=INDEX('작업 관리'!$F$9:$F$61,MATCH($A41,'작업 관리'!$A$9:$A$61,0))),1,"")</f>
        <v/>
      </c>
      <c r="I41" s="49">
        <f>IF(AND(I$8&gt;=INDEX('작업 관리'!$E$9:$E$61,MATCH($A41,'작업 관리'!$A$9:$A$61,0)),I$8&lt;=INDEX('작업 관리'!$F$9:$F$61,MATCH($A41,'작업 관리'!$A$9:$A$61,0))),1,"")</f>
        <v>1</v>
      </c>
      <c r="J41" s="49">
        <f>IF(AND(J$8&gt;=INDEX('작업 관리'!$E$9:$E$61,MATCH($A41,'작업 관리'!$A$9:$A$61,0)),J$8&lt;=INDEX('작업 관리'!$F$9:$F$61,MATCH($A41,'작업 관리'!$A$9:$A$61,0))),1,"")</f>
        <v>1</v>
      </c>
      <c r="K41" s="49" t="str">
        <f>IF(AND(K$8&gt;=INDEX('작업 관리'!$E$9:$E$61,MATCH($A41,'작업 관리'!$A$9:$A$61,0)),K$8&lt;=INDEX('작업 관리'!$F$9:$F$61,MATCH($A41,'작업 관리'!$A$9:$A$61,0))),1,"")</f>
        <v/>
      </c>
      <c r="L41" s="49" t="str">
        <f>IF(AND(L$8&gt;=INDEX('작업 관리'!$E$9:$E$61,MATCH($A41,'작업 관리'!$A$9:$A$61,0)),L$8&lt;=INDEX('작업 관리'!$F$9:$F$61,MATCH($A41,'작업 관리'!$A$9:$A$61,0))),1,"")</f>
        <v/>
      </c>
      <c r="M41" s="49" t="str">
        <f>IF(AND(M$8&gt;=INDEX('작업 관리'!$E$9:$E$61,MATCH($A41,'작업 관리'!$A$9:$A$61,0)),M$8&lt;=INDEX('작업 관리'!$F$9:$F$61,MATCH($A41,'작업 관리'!$A$9:$A$61,0))),1,"")</f>
        <v/>
      </c>
      <c r="N41" s="50" t="str">
        <f>IF(AND(N$8&gt;=INDEX('작업 관리'!$E$9:$E$61,MATCH($A41,'작업 관리'!$A$9:$A$61,0)),N$8&lt;=INDEX('작업 관리'!$F$9:$F$61,MATCH($A41,'작업 관리'!$A$9:$A$61,0))),1,"")</f>
        <v/>
      </c>
      <c r="O41" s="50" t="str">
        <f>IF(AND(O$8&gt;=INDEX('작업 관리'!$E$9:$E$61,MATCH($A41,'작업 관리'!$A$9:$A$61,0)),O$8&lt;=INDEX('작업 관리'!$F$9:$F$61,MATCH($A41,'작업 관리'!$A$9:$A$61,0))),1,"")</f>
        <v/>
      </c>
      <c r="P41" s="49" t="str">
        <f>IF(AND(P$8&gt;=INDEX('작업 관리'!$E$9:$E$61,MATCH($A41,'작업 관리'!$A$9:$A$61,0)),P$8&lt;=INDEX('작업 관리'!$F$9:$F$61,MATCH($A41,'작업 관리'!$A$9:$A$61,0))),1,"")</f>
        <v/>
      </c>
      <c r="Q41" s="49" t="str">
        <f>IF(AND(Q$8&gt;=INDEX('작업 관리'!$E$9:$E$61,MATCH($A41,'작업 관리'!$A$9:$A$61,0)),Q$8&lt;=INDEX('작업 관리'!$F$9:$F$61,MATCH($A41,'작업 관리'!$A$9:$A$61,0))),1,"")</f>
        <v/>
      </c>
      <c r="R41" s="49" t="str">
        <f>IF(AND(R$8&gt;=INDEX('작업 관리'!$E$9:$E$61,MATCH($A41,'작업 관리'!$A$9:$A$61,0)),R$8&lt;=INDEX('작업 관리'!$F$9:$F$61,MATCH($A41,'작업 관리'!$A$9:$A$61,0))),1,"")</f>
        <v/>
      </c>
      <c r="S41" s="49" t="str">
        <f>IF(AND(S$8&gt;=INDEX('작업 관리'!$E$9:$E$61,MATCH($A41,'작업 관리'!$A$9:$A$61,0)),S$8&lt;=INDEX('작업 관리'!$F$9:$F$61,MATCH($A41,'작업 관리'!$A$9:$A$61,0))),1,"")</f>
        <v/>
      </c>
    </row>
    <row r="42" spans="1:19" ht="16.5">
      <c r="A42" s="39" t="s">
        <v>153</v>
      </c>
      <c r="B42" s="15" t="s">
        <v>154</v>
      </c>
      <c r="C42" s="15" t="s">
        <v>8</v>
      </c>
      <c r="D42" s="51" t="str">
        <f>IF(AND(D$8&gt;=INDEX('작업 관리'!$E$9:$E$61,MATCH($A42,'작업 관리'!$A$9:$A$61,0)),D$8&lt;=INDEX('작업 관리'!$F$9:$F$61,MATCH($A42,'작업 관리'!$A$9:$A$61,0))),1,"")</f>
        <v/>
      </c>
      <c r="E42" s="51" t="str">
        <f>IF(AND(E$8&gt;=INDEX('작업 관리'!$E$9:$E$61,MATCH($A42,'작업 관리'!$A$9:$A$61,0)),E$8&lt;=INDEX('작업 관리'!$F$9:$F$61,MATCH($A42,'작업 관리'!$A$9:$A$61,0))),1,"")</f>
        <v/>
      </c>
      <c r="F42" s="51" t="str">
        <f>IF(AND(F$8&gt;=INDEX('작업 관리'!$E$9:$E$61,MATCH($A42,'작업 관리'!$A$9:$A$61,0)),F$8&lt;=INDEX('작업 관리'!$F$9:$F$61,MATCH($A42,'작업 관리'!$A$9:$A$61,0))),1,"")</f>
        <v/>
      </c>
      <c r="G42" s="50" t="str">
        <f>IF(AND(G$8&gt;=INDEX('작업 관리'!$E$9:$E$61,MATCH($A42,'작업 관리'!$A$9:$A$61,0)),G$8&lt;=INDEX('작업 관리'!$F$9:$F$61,MATCH($A42,'작업 관리'!$A$9:$A$61,0))),1,"")</f>
        <v/>
      </c>
      <c r="H42" s="50" t="str">
        <f>IF(AND(H$8&gt;=INDEX('작업 관리'!$E$9:$E$61,MATCH($A42,'작업 관리'!$A$9:$A$61,0)),H$8&lt;=INDEX('작업 관리'!$F$9:$F$61,MATCH($A42,'작업 관리'!$A$9:$A$61,0))),1,"")</f>
        <v/>
      </c>
      <c r="I42" s="51" t="str">
        <f>IF(AND(I$8&gt;=INDEX('작업 관리'!$E$9:$E$61,MATCH($A42,'작업 관리'!$A$9:$A$61,0)),I$8&lt;=INDEX('작업 관리'!$F$9:$F$61,MATCH($A42,'작업 관리'!$A$9:$A$61,0))),1,"")</f>
        <v/>
      </c>
      <c r="J42" s="51">
        <f>IF(AND(J$8&gt;=INDEX('작업 관리'!$E$9:$E$61,MATCH($A42,'작업 관리'!$A$9:$A$61,0)),J$8&lt;=INDEX('작업 관리'!$F$9:$F$61,MATCH($A42,'작업 관리'!$A$9:$A$61,0))),1,"")</f>
        <v>1</v>
      </c>
      <c r="K42" s="51">
        <f>IF(AND(K$8&gt;=INDEX('작업 관리'!$E$9:$E$61,MATCH($A42,'작업 관리'!$A$9:$A$61,0)),K$8&lt;=INDEX('작업 관리'!$F$9:$F$61,MATCH($A42,'작업 관리'!$A$9:$A$61,0))),1,"")</f>
        <v>1</v>
      </c>
      <c r="L42" s="51" t="str">
        <f>IF(AND(L$8&gt;=INDEX('작업 관리'!$E$9:$E$61,MATCH($A42,'작업 관리'!$A$9:$A$61,0)),L$8&lt;=INDEX('작업 관리'!$F$9:$F$61,MATCH($A42,'작업 관리'!$A$9:$A$61,0))),1,"")</f>
        <v/>
      </c>
      <c r="M42" s="51" t="str">
        <f>IF(AND(M$8&gt;=INDEX('작업 관리'!$E$9:$E$61,MATCH($A42,'작업 관리'!$A$9:$A$61,0)),M$8&lt;=INDEX('작업 관리'!$F$9:$F$61,MATCH($A42,'작업 관리'!$A$9:$A$61,0))),1,"")</f>
        <v/>
      </c>
      <c r="N42" s="50" t="str">
        <f>IF(AND(N$8&gt;=INDEX('작업 관리'!$E$9:$E$61,MATCH($A42,'작업 관리'!$A$9:$A$61,0)),N$8&lt;=INDEX('작업 관리'!$F$9:$F$61,MATCH($A42,'작업 관리'!$A$9:$A$61,0))),1,"")</f>
        <v/>
      </c>
      <c r="O42" s="50" t="str">
        <f>IF(AND(O$8&gt;=INDEX('작업 관리'!$E$9:$E$61,MATCH($A42,'작업 관리'!$A$9:$A$61,0)),O$8&lt;=INDEX('작업 관리'!$F$9:$F$61,MATCH($A42,'작업 관리'!$A$9:$A$61,0))),1,"")</f>
        <v/>
      </c>
      <c r="P42" s="51" t="str">
        <f>IF(AND(P$8&gt;=INDEX('작업 관리'!$E$9:$E$61,MATCH($A42,'작업 관리'!$A$9:$A$61,0)),P$8&lt;=INDEX('작업 관리'!$F$9:$F$61,MATCH($A42,'작업 관리'!$A$9:$A$61,0))),1,"")</f>
        <v/>
      </c>
      <c r="Q42" s="51" t="str">
        <f>IF(AND(Q$8&gt;=INDEX('작업 관리'!$E$9:$E$61,MATCH($A42,'작업 관리'!$A$9:$A$61,0)),Q$8&lt;=INDEX('작업 관리'!$F$9:$F$61,MATCH($A42,'작업 관리'!$A$9:$A$61,0))),1,"")</f>
        <v/>
      </c>
      <c r="R42" s="51" t="str">
        <f>IF(AND(R$8&gt;=INDEX('작업 관리'!$E$9:$E$61,MATCH($A42,'작업 관리'!$A$9:$A$61,0)),R$8&lt;=INDEX('작업 관리'!$F$9:$F$61,MATCH($A42,'작업 관리'!$A$9:$A$61,0))),1,"")</f>
        <v/>
      </c>
      <c r="S42" s="51" t="str">
        <f>IF(AND(S$8&gt;=INDEX('작업 관리'!$E$9:$E$61,MATCH($A42,'작업 관리'!$A$9:$A$61,0)),S$8&lt;=INDEX('작업 관리'!$F$9:$F$61,MATCH($A42,'작업 관리'!$A$9:$A$61,0))),1,"")</f>
        <v/>
      </c>
    </row>
    <row r="43" spans="1:19" ht="16.5">
      <c r="A43" s="48" t="s">
        <v>155</v>
      </c>
      <c r="B43" s="1" t="s">
        <v>156</v>
      </c>
      <c r="C43" s="1" t="s">
        <v>8</v>
      </c>
      <c r="D43" s="49" t="str">
        <f>IF(AND(D$8&gt;=INDEX('작업 관리'!$E$9:$E$61,MATCH($A43,'작업 관리'!$A$9:$A$61,0)),D$8&lt;=INDEX('작업 관리'!$F$9:$F$61,MATCH($A43,'작업 관리'!$A$9:$A$61,0))),1,"")</f>
        <v/>
      </c>
      <c r="E43" s="49" t="str">
        <f>IF(AND(E$8&gt;=INDEX('작업 관리'!$E$9:$E$61,MATCH($A43,'작업 관리'!$A$9:$A$61,0)),E$8&lt;=INDEX('작업 관리'!$F$9:$F$61,MATCH($A43,'작업 관리'!$A$9:$A$61,0))),1,"")</f>
        <v/>
      </c>
      <c r="F43" s="49" t="str">
        <f>IF(AND(F$8&gt;=INDEX('작업 관리'!$E$9:$E$61,MATCH($A43,'작업 관리'!$A$9:$A$61,0)),F$8&lt;=INDEX('작업 관리'!$F$9:$F$61,MATCH($A43,'작업 관리'!$A$9:$A$61,0))),1,"")</f>
        <v/>
      </c>
      <c r="G43" s="50" t="str">
        <f>IF(AND(G$8&gt;=INDEX('작업 관리'!$E$9:$E$61,MATCH($A43,'작업 관리'!$A$9:$A$61,0)),G$8&lt;=INDEX('작업 관리'!$F$9:$F$61,MATCH($A43,'작업 관리'!$A$9:$A$61,0))),1,"")</f>
        <v/>
      </c>
      <c r="H43" s="50" t="str">
        <f>IF(AND(H$8&gt;=INDEX('작업 관리'!$E$9:$E$61,MATCH($A43,'작업 관리'!$A$9:$A$61,0)),H$8&lt;=INDEX('작업 관리'!$F$9:$F$61,MATCH($A43,'작업 관리'!$A$9:$A$61,0))),1,"")</f>
        <v/>
      </c>
      <c r="I43" s="49" t="str">
        <f>IF(AND(I$8&gt;=INDEX('작업 관리'!$E$9:$E$61,MATCH($A43,'작업 관리'!$A$9:$A$61,0)),I$8&lt;=INDEX('작업 관리'!$F$9:$F$61,MATCH($A43,'작업 관리'!$A$9:$A$61,0))),1,"")</f>
        <v/>
      </c>
      <c r="J43" s="49">
        <f>IF(AND(J$8&gt;=INDEX('작업 관리'!$E$9:$E$61,MATCH($A43,'작업 관리'!$A$9:$A$61,0)),J$8&lt;=INDEX('작업 관리'!$F$9:$F$61,MATCH($A43,'작업 관리'!$A$9:$A$61,0))),1,"")</f>
        <v>1</v>
      </c>
      <c r="K43" s="49">
        <f>IF(AND(K$8&gt;=INDEX('작업 관리'!$E$9:$E$61,MATCH($A43,'작업 관리'!$A$9:$A$61,0)),K$8&lt;=INDEX('작업 관리'!$F$9:$F$61,MATCH($A43,'작업 관리'!$A$9:$A$61,0))),1,"")</f>
        <v>1</v>
      </c>
      <c r="L43" s="49" t="str">
        <f>IF(AND(L$8&gt;=INDEX('작업 관리'!$E$9:$E$61,MATCH($A43,'작업 관리'!$A$9:$A$61,0)),L$8&lt;=INDEX('작업 관리'!$F$9:$F$61,MATCH($A43,'작업 관리'!$A$9:$A$61,0))),1,"")</f>
        <v/>
      </c>
      <c r="M43" s="49" t="str">
        <f>IF(AND(M$8&gt;=INDEX('작업 관리'!$E$9:$E$61,MATCH($A43,'작업 관리'!$A$9:$A$61,0)),M$8&lt;=INDEX('작업 관리'!$F$9:$F$61,MATCH($A43,'작업 관리'!$A$9:$A$61,0))),1,"")</f>
        <v/>
      </c>
      <c r="N43" s="50" t="str">
        <f>IF(AND(N$8&gt;=INDEX('작업 관리'!$E$9:$E$61,MATCH($A43,'작업 관리'!$A$9:$A$61,0)),N$8&lt;=INDEX('작업 관리'!$F$9:$F$61,MATCH($A43,'작업 관리'!$A$9:$A$61,0))),1,"")</f>
        <v/>
      </c>
      <c r="O43" s="50" t="str">
        <f>IF(AND(O$8&gt;=INDEX('작업 관리'!$E$9:$E$61,MATCH($A43,'작업 관리'!$A$9:$A$61,0)),O$8&lt;=INDEX('작업 관리'!$F$9:$F$61,MATCH($A43,'작업 관리'!$A$9:$A$61,0))),1,"")</f>
        <v/>
      </c>
      <c r="P43" s="49" t="str">
        <f>IF(AND(P$8&gt;=INDEX('작업 관리'!$E$9:$E$61,MATCH($A43,'작업 관리'!$A$9:$A$61,0)),P$8&lt;=INDEX('작업 관리'!$F$9:$F$61,MATCH($A43,'작업 관리'!$A$9:$A$61,0))),1,"")</f>
        <v/>
      </c>
      <c r="Q43" s="49" t="str">
        <f>IF(AND(Q$8&gt;=INDEX('작업 관리'!$E$9:$E$61,MATCH($A43,'작업 관리'!$A$9:$A$61,0)),Q$8&lt;=INDEX('작업 관리'!$F$9:$F$61,MATCH($A43,'작업 관리'!$A$9:$A$61,0))),1,"")</f>
        <v/>
      </c>
      <c r="R43" s="49" t="str">
        <f>IF(AND(R$8&gt;=INDEX('작업 관리'!$E$9:$E$61,MATCH($A43,'작업 관리'!$A$9:$A$61,0)),R$8&lt;=INDEX('작업 관리'!$F$9:$F$61,MATCH($A43,'작업 관리'!$A$9:$A$61,0))),1,"")</f>
        <v/>
      </c>
      <c r="S43" s="49" t="str">
        <f>IF(AND(S$8&gt;=INDEX('작업 관리'!$E$9:$E$61,MATCH($A43,'작업 관리'!$A$9:$A$61,0)),S$8&lt;=INDEX('작업 관리'!$F$9:$F$61,MATCH($A43,'작업 관리'!$A$9:$A$61,0))),1,"")</f>
        <v/>
      </c>
    </row>
    <row r="44" spans="1:19" ht="16.5">
      <c r="A44" s="39" t="s">
        <v>157</v>
      </c>
      <c r="B44" s="15" t="s">
        <v>158</v>
      </c>
      <c r="C44" s="15" t="s">
        <v>122</v>
      </c>
      <c r="D44" s="51" t="str">
        <f>IF(AND(D$8&gt;=INDEX('작업 관리'!$E$9:$E$61,MATCH($A44,'작업 관리'!$A$9:$A$61,0)),D$8&lt;=INDEX('작업 관리'!$F$9:$F$61,MATCH($A44,'작업 관리'!$A$9:$A$61,0))),1,"")</f>
        <v/>
      </c>
      <c r="E44" s="51" t="str">
        <f>IF(AND(E$8&gt;=INDEX('작업 관리'!$E$9:$E$61,MATCH($A44,'작업 관리'!$A$9:$A$61,0)),E$8&lt;=INDEX('작업 관리'!$F$9:$F$61,MATCH($A44,'작업 관리'!$A$9:$A$61,0))),1,"")</f>
        <v/>
      </c>
      <c r="F44" s="51" t="str">
        <f>IF(AND(F$8&gt;=INDEX('작업 관리'!$E$9:$E$61,MATCH($A44,'작업 관리'!$A$9:$A$61,0)),F$8&lt;=INDEX('작업 관리'!$F$9:$F$61,MATCH($A44,'작업 관리'!$A$9:$A$61,0))),1,"")</f>
        <v/>
      </c>
      <c r="G44" s="50" t="str">
        <f>IF(AND(G$8&gt;=INDEX('작업 관리'!$E$9:$E$61,MATCH($A44,'작업 관리'!$A$9:$A$61,0)),G$8&lt;=INDEX('작업 관리'!$F$9:$F$61,MATCH($A44,'작업 관리'!$A$9:$A$61,0))),1,"")</f>
        <v/>
      </c>
      <c r="H44" s="50" t="str">
        <f>IF(AND(H$8&gt;=INDEX('작업 관리'!$E$9:$E$61,MATCH($A44,'작업 관리'!$A$9:$A$61,0)),H$8&lt;=INDEX('작업 관리'!$F$9:$F$61,MATCH($A44,'작업 관리'!$A$9:$A$61,0))),1,"")</f>
        <v/>
      </c>
      <c r="I44" s="51" t="str">
        <f>IF(AND(I$8&gt;=INDEX('작업 관리'!$E$9:$E$61,MATCH($A44,'작업 관리'!$A$9:$A$61,0)),I$8&lt;=INDEX('작업 관리'!$F$9:$F$61,MATCH($A44,'작업 관리'!$A$9:$A$61,0))),1,"")</f>
        <v/>
      </c>
      <c r="J44" s="51" t="str">
        <f>IF(AND(J$8&gt;=INDEX('작업 관리'!$E$9:$E$61,MATCH($A44,'작업 관리'!$A$9:$A$61,0)),J$8&lt;=INDEX('작업 관리'!$F$9:$F$61,MATCH($A44,'작업 관리'!$A$9:$A$61,0))),1,"")</f>
        <v/>
      </c>
      <c r="K44" s="51" t="str">
        <f>IF(AND(K$8&gt;=INDEX('작업 관리'!$E$9:$E$61,MATCH($A44,'작업 관리'!$A$9:$A$61,0)),K$8&lt;=INDEX('작업 관리'!$F$9:$F$61,MATCH($A44,'작업 관리'!$A$9:$A$61,0))),1,"")</f>
        <v/>
      </c>
      <c r="L44" s="51">
        <f>IF(AND(L$8&gt;=INDEX('작업 관리'!$E$9:$E$61,MATCH($A44,'작업 관리'!$A$9:$A$61,0)),L$8&lt;=INDEX('작업 관리'!$F$9:$F$61,MATCH($A44,'작업 관리'!$A$9:$A$61,0))),1,"")</f>
        <v>1</v>
      </c>
      <c r="M44" s="51">
        <f>IF(AND(M$8&gt;=INDEX('작업 관리'!$E$9:$E$61,MATCH($A44,'작업 관리'!$A$9:$A$61,0)),M$8&lt;=INDEX('작업 관리'!$F$9:$F$61,MATCH($A44,'작업 관리'!$A$9:$A$61,0))),1,"")</f>
        <v>1</v>
      </c>
      <c r="N44" s="50" t="str">
        <f>IF(AND(N$8&gt;=INDEX('작업 관리'!$E$9:$E$61,MATCH($A44,'작업 관리'!$A$9:$A$61,0)),N$8&lt;=INDEX('작업 관리'!$F$9:$F$61,MATCH($A44,'작업 관리'!$A$9:$A$61,0))),1,"")</f>
        <v/>
      </c>
      <c r="O44" s="50" t="str">
        <f>IF(AND(O$8&gt;=INDEX('작업 관리'!$E$9:$E$61,MATCH($A44,'작업 관리'!$A$9:$A$61,0)),O$8&lt;=INDEX('작업 관리'!$F$9:$F$61,MATCH($A44,'작업 관리'!$A$9:$A$61,0))),1,"")</f>
        <v/>
      </c>
      <c r="P44" s="51" t="str">
        <f>IF(AND(P$8&gt;=INDEX('작업 관리'!$E$9:$E$61,MATCH($A44,'작업 관리'!$A$9:$A$61,0)),P$8&lt;=INDEX('작업 관리'!$F$9:$F$61,MATCH($A44,'작업 관리'!$A$9:$A$61,0))),1,"")</f>
        <v/>
      </c>
      <c r="Q44" s="51" t="str">
        <f>IF(AND(Q$8&gt;=INDEX('작업 관리'!$E$9:$E$61,MATCH($A44,'작업 관리'!$A$9:$A$61,0)),Q$8&lt;=INDEX('작업 관리'!$F$9:$F$61,MATCH($A44,'작업 관리'!$A$9:$A$61,0))),1,"")</f>
        <v/>
      </c>
      <c r="R44" s="51" t="str">
        <f>IF(AND(R$8&gt;=INDEX('작업 관리'!$E$9:$E$61,MATCH($A44,'작업 관리'!$A$9:$A$61,0)),R$8&lt;=INDEX('작업 관리'!$F$9:$F$61,MATCH($A44,'작업 관리'!$A$9:$A$61,0))),1,"")</f>
        <v/>
      </c>
      <c r="S44" s="51" t="str">
        <f>IF(AND(S$8&gt;=INDEX('작업 관리'!$E$9:$E$61,MATCH($A44,'작업 관리'!$A$9:$A$61,0)),S$8&lt;=INDEX('작업 관리'!$F$9:$F$61,MATCH($A44,'작업 관리'!$A$9:$A$61,0))),1,"")</f>
        <v/>
      </c>
    </row>
    <row r="45" spans="1:19" ht="16.5">
      <c r="A45" s="48" t="s">
        <v>159</v>
      </c>
      <c r="B45" s="1" t="s">
        <v>160</v>
      </c>
      <c r="C45" s="1" t="s">
        <v>122</v>
      </c>
      <c r="D45" s="49" t="str">
        <f>IF(AND(D$8&gt;=INDEX('작업 관리'!$E$9:$E$61,MATCH($A45,'작업 관리'!$A$9:$A$61,0)),D$8&lt;=INDEX('작업 관리'!$F$9:$F$61,MATCH($A45,'작업 관리'!$A$9:$A$61,0))),1,"")</f>
        <v/>
      </c>
      <c r="E45" s="49" t="str">
        <f>IF(AND(E$8&gt;=INDEX('작업 관리'!$E$9:$E$61,MATCH($A45,'작업 관리'!$A$9:$A$61,0)),E$8&lt;=INDEX('작업 관리'!$F$9:$F$61,MATCH($A45,'작업 관리'!$A$9:$A$61,0))),1,"")</f>
        <v/>
      </c>
      <c r="F45" s="49" t="str">
        <f>IF(AND(F$8&gt;=INDEX('작업 관리'!$E$9:$E$61,MATCH($A45,'작업 관리'!$A$9:$A$61,0)),F$8&lt;=INDEX('작업 관리'!$F$9:$F$61,MATCH($A45,'작업 관리'!$A$9:$A$61,0))),1,"")</f>
        <v/>
      </c>
      <c r="G45" s="50" t="str">
        <f>IF(AND(G$8&gt;=INDEX('작업 관리'!$E$9:$E$61,MATCH($A45,'작업 관리'!$A$9:$A$61,0)),G$8&lt;=INDEX('작업 관리'!$F$9:$F$61,MATCH($A45,'작업 관리'!$A$9:$A$61,0))),1,"")</f>
        <v/>
      </c>
      <c r="H45" s="50" t="str">
        <f>IF(AND(H$8&gt;=INDEX('작업 관리'!$E$9:$E$61,MATCH($A45,'작업 관리'!$A$9:$A$61,0)),H$8&lt;=INDEX('작업 관리'!$F$9:$F$61,MATCH($A45,'작업 관리'!$A$9:$A$61,0))),1,"")</f>
        <v/>
      </c>
      <c r="I45" s="49" t="str">
        <f>IF(AND(I$8&gt;=INDEX('작업 관리'!$E$9:$E$61,MATCH($A45,'작업 관리'!$A$9:$A$61,0)),I$8&lt;=INDEX('작업 관리'!$F$9:$F$61,MATCH($A45,'작업 관리'!$A$9:$A$61,0))),1,"")</f>
        <v/>
      </c>
      <c r="J45" s="49" t="str">
        <f>IF(AND(J$8&gt;=INDEX('작업 관리'!$E$9:$E$61,MATCH($A45,'작업 관리'!$A$9:$A$61,0)),J$8&lt;=INDEX('작업 관리'!$F$9:$F$61,MATCH($A45,'작업 관리'!$A$9:$A$61,0))),1,"")</f>
        <v/>
      </c>
      <c r="K45" s="49" t="str">
        <f>IF(AND(K$8&gt;=INDEX('작업 관리'!$E$9:$E$61,MATCH($A45,'작업 관리'!$A$9:$A$61,0)),K$8&lt;=INDEX('작업 관리'!$F$9:$F$61,MATCH($A45,'작업 관리'!$A$9:$A$61,0))),1,"")</f>
        <v/>
      </c>
      <c r="L45" s="49" t="str">
        <f>IF(AND(L$8&gt;=INDEX('작업 관리'!$E$9:$E$61,MATCH($A45,'작업 관리'!$A$9:$A$61,0)),L$8&lt;=INDEX('작업 관리'!$F$9:$F$61,MATCH($A45,'작업 관리'!$A$9:$A$61,0))),1,"")</f>
        <v/>
      </c>
      <c r="M45" s="49">
        <f>IF(AND(M$8&gt;=INDEX('작업 관리'!$E$9:$E$61,MATCH($A45,'작업 관리'!$A$9:$A$61,0)),M$8&lt;=INDEX('작업 관리'!$F$9:$F$61,MATCH($A45,'작업 관리'!$A$9:$A$61,0))),1,"")</f>
        <v>1</v>
      </c>
      <c r="N45" s="50" t="str">
        <f>IF(AND(N$8&gt;=INDEX('작업 관리'!$E$9:$E$61,MATCH($A45,'작업 관리'!$A$9:$A$61,0)),N$8&lt;=INDEX('작업 관리'!$F$9:$F$61,MATCH($A45,'작업 관리'!$A$9:$A$61,0))),1,"")</f>
        <v/>
      </c>
      <c r="O45" s="50" t="str">
        <f>IF(AND(O$8&gt;=INDEX('작업 관리'!$E$9:$E$61,MATCH($A45,'작업 관리'!$A$9:$A$61,0)),O$8&lt;=INDEX('작업 관리'!$F$9:$F$61,MATCH($A45,'작업 관리'!$A$9:$A$61,0))),1,"")</f>
        <v/>
      </c>
      <c r="P45" s="49" t="str">
        <f>IF(AND(P$8&gt;=INDEX('작업 관리'!$E$9:$E$61,MATCH($A45,'작업 관리'!$A$9:$A$61,0)),P$8&lt;=INDEX('작업 관리'!$F$9:$F$61,MATCH($A45,'작업 관리'!$A$9:$A$61,0))),1,"")</f>
        <v/>
      </c>
      <c r="Q45" s="49" t="str">
        <f>IF(AND(Q$8&gt;=INDEX('작업 관리'!$E$9:$E$61,MATCH($A45,'작업 관리'!$A$9:$A$61,0)),Q$8&lt;=INDEX('작업 관리'!$F$9:$F$61,MATCH($A45,'작업 관리'!$A$9:$A$61,0))),1,"")</f>
        <v/>
      </c>
      <c r="R45" s="49" t="str">
        <f>IF(AND(R$8&gt;=INDEX('작업 관리'!$E$9:$E$61,MATCH($A45,'작업 관리'!$A$9:$A$61,0)),R$8&lt;=INDEX('작업 관리'!$F$9:$F$61,MATCH($A45,'작업 관리'!$A$9:$A$61,0))),1,"")</f>
        <v/>
      </c>
      <c r="S45" s="49" t="str">
        <f>IF(AND(S$8&gt;=INDEX('작업 관리'!$E$9:$E$61,MATCH($A45,'작업 관리'!$A$9:$A$61,0)),S$8&lt;=INDEX('작업 관리'!$F$9:$F$61,MATCH($A45,'작업 관리'!$A$9:$A$61,0))),1,"")</f>
        <v/>
      </c>
    </row>
    <row r="46" spans="1:19" ht="16.5">
      <c r="A46" s="39" t="s">
        <v>161</v>
      </c>
      <c r="B46" s="15" t="s">
        <v>162</v>
      </c>
      <c r="C46" s="15" t="s">
        <v>8</v>
      </c>
      <c r="D46" s="51" t="str">
        <f>IF(AND(D$8&gt;=INDEX('작업 관리'!$E$9:$E$61,MATCH($A46,'작업 관리'!$A$9:$A$61,0)),D$8&lt;=INDEX('작업 관리'!$F$9:$F$61,MATCH($A46,'작업 관리'!$A$9:$A$61,0))),1,"")</f>
        <v/>
      </c>
      <c r="E46" s="51" t="str">
        <f>IF(AND(E$8&gt;=INDEX('작업 관리'!$E$9:$E$61,MATCH($A46,'작업 관리'!$A$9:$A$61,0)),E$8&lt;=INDEX('작업 관리'!$F$9:$F$61,MATCH($A46,'작업 관리'!$A$9:$A$61,0))),1,"")</f>
        <v/>
      </c>
      <c r="F46" s="51" t="str">
        <f>IF(AND(F$8&gt;=INDEX('작업 관리'!$E$9:$E$61,MATCH($A46,'작업 관리'!$A$9:$A$61,0)),F$8&lt;=INDEX('작업 관리'!$F$9:$F$61,MATCH($A46,'작업 관리'!$A$9:$A$61,0))),1,"")</f>
        <v/>
      </c>
      <c r="G46" s="50" t="str">
        <f>IF(AND(G$8&gt;=INDEX('작업 관리'!$E$9:$E$61,MATCH($A46,'작업 관리'!$A$9:$A$61,0)),G$8&lt;=INDEX('작업 관리'!$F$9:$F$61,MATCH($A46,'작업 관리'!$A$9:$A$61,0))),1,"")</f>
        <v/>
      </c>
      <c r="H46" s="50" t="str">
        <f>IF(AND(H$8&gt;=INDEX('작업 관리'!$E$9:$E$61,MATCH($A46,'작업 관리'!$A$9:$A$61,0)),H$8&lt;=INDEX('작업 관리'!$F$9:$F$61,MATCH($A46,'작업 관리'!$A$9:$A$61,0))),1,"")</f>
        <v/>
      </c>
      <c r="I46" s="51" t="str">
        <f>IF(AND(I$8&gt;=INDEX('작업 관리'!$E$9:$E$61,MATCH($A46,'작업 관리'!$A$9:$A$61,0)),I$8&lt;=INDEX('작업 관리'!$F$9:$F$61,MATCH($A46,'작업 관리'!$A$9:$A$61,0))),1,"")</f>
        <v/>
      </c>
      <c r="J46" s="51" t="str">
        <f>IF(AND(J$8&gt;=INDEX('작업 관리'!$E$9:$E$61,MATCH($A46,'작업 관리'!$A$9:$A$61,0)),J$8&lt;=INDEX('작업 관리'!$F$9:$F$61,MATCH($A46,'작업 관리'!$A$9:$A$61,0))),1,"")</f>
        <v/>
      </c>
      <c r="K46" s="51" t="str">
        <f>IF(AND(K$8&gt;=INDEX('작업 관리'!$E$9:$E$61,MATCH($A46,'작업 관리'!$A$9:$A$61,0)),K$8&lt;=INDEX('작업 관리'!$F$9:$F$61,MATCH($A46,'작업 관리'!$A$9:$A$61,0))),1,"")</f>
        <v/>
      </c>
      <c r="L46" s="51" t="str">
        <f>IF(AND(L$8&gt;=INDEX('작업 관리'!$E$9:$E$61,MATCH($A46,'작업 관리'!$A$9:$A$61,0)),L$8&lt;=INDEX('작업 관리'!$F$9:$F$61,MATCH($A46,'작업 관리'!$A$9:$A$61,0))),1,"")</f>
        <v/>
      </c>
      <c r="M46" s="51">
        <f>IF(AND(M$8&gt;=INDEX('작업 관리'!$E$9:$E$61,MATCH($A46,'작업 관리'!$A$9:$A$61,0)),M$8&lt;=INDEX('작업 관리'!$F$9:$F$61,MATCH($A46,'작업 관리'!$A$9:$A$61,0))),1,"")</f>
        <v>1</v>
      </c>
      <c r="N46" s="50" t="str">
        <f>IF(AND(N$8&gt;=INDEX('작업 관리'!$E$9:$E$61,MATCH($A46,'작업 관리'!$A$9:$A$61,0)),N$8&lt;=INDEX('작업 관리'!$F$9:$F$61,MATCH($A46,'작업 관리'!$A$9:$A$61,0))),1,"")</f>
        <v/>
      </c>
      <c r="O46" s="50" t="str">
        <f>IF(AND(O$8&gt;=INDEX('작업 관리'!$E$9:$E$61,MATCH($A46,'작업 관리'!$A$9:$A$61,0)),O$8&lt;=INDEX('작업 관리'!$F$9:$F$61,MATCH($A46,'작업 관리'!$A$9:$A$61,0))),1,"")</f>
        <v/>
      </c>
      <c r="P46" s="51" t="str">
        <f>IF(AND(P$8&gt;=INDEX('작업 관리'!$E$9:$E$61,MATCH($A46,'작업 관리'!$A$9:$A$61,0)),P$8&lt;=INDEX('작업 관리'!$F$9:$F$61,MATCH($A46,'작업 관리'!$A$9:$A$61,0))),1,"")</f>
        <v/>
      </c>
      <c r="Q46" s="51" t="str">
        <f>IF(AND(Q$8&gt;=INDEX('작업 관리'!$E$9:$E$61,MATCH($A46,'작업 관리'!$A$9:$A$61,0)),Q$8&lt;=INDEX('작업 관리'!$F$9:$F$61,MATCH($A46,'작업 관리'!$A$9:$A$61,0))),1,"")</f>
        <v/>
      </c>
      <c r="R46" s="51" t="str">
        <f>IF(AND(R$8&gt;=INDEX('작업 관리'!$E$9:$E$61,MATCH($A46,'작업 관리'!$A$9:$A$61,0)),R$8&lt;=INDEX('작업 관리'!$F$9:$F$61,MATCH($A46,'작업 관리'!$A$9:$A$61,0))),1,"")</f>
        <v/>
      </c>
      <c r="S46" s="51" t="str">
        <f>IF(AND(S$8&gt;=INDEX('작업 관리'!$E$9:$E$61,MATCH($A46,'작업 관리'!$A$9:$A$61,0)),S$8&lt;=INDEX('작업 관리'!$F$9:$F$61,MATCH($A46,'작업 관리'!$A$9:$A$61,0))),1,"")</f>
        <v/>
      </c>
    </row>
    <row r="47" spans="1:19" ht="16.5">
      <c r="A47" s="48" t="s">
        <v>163</v>
      </c>
      <c r="B47" s="1" t="s">
        <v>164</v>
      </c>
      <c r="C47" s="1" t="s">
        <v>88</v>
      </c>
      <c r="D47" s="49" t="str">
        <f>IF(AND(D$8&gt;=INDEX('작업 관리'!$E$9:$E$61,MATCH($A47,'작업 관리'!$A$9:$A$61,0)),D$8&lt;=INDEX('작업 관리'!$F$9:$F$61,MATCH($A47,'작업 관리'!$A$9:$A$61,0))),1,"")</f>
        <v/>
      </c>
      <c r="E47" s="49" t="str">
        <f>IF(AND(E$8&gt;=INDEX('작업 관리'!$E$9:$E$61,MATCH($A47,'작업 관리'!$A$9:$A$61,0)),E$8&lt;=INDEX('작업 관리'!$F$9:$F$61,MATCH($A47,'작업 관리'!$A$9:$A$61,0))),1,"")</f>
        <v/>
      </c>
      <c r="F47" s="49" t="str">
        <f>IF(AND(F$8&gt;=INDEX('작업 관리'!$E$9:$E$61,MATCH($A47,'작업 관리'!$A$9:$A$61,0)),F$8&lt;=INDEX('작업 관리'!$F$9:$F$61,MATCH($A47,'작업 관리'!$A$9:$A$61,0))),1,"")</f>
        <v/>
      </c>
      <c r="G47" s="50" t="str">
        <f>IF(AND(G$8&gt;=INDEX('작업 관리'!$E$9:$E$61,MATCH($A47,'작업 관리'!$A$9:$A$61,0)),G$8&lt;=INDEX('작업 관리'!$F$9:$F$61,MATCH($A47,'작업 관리'!$A$9:$A$61,0))),1,"")</f>
        <v/>
      </c>
      <c r="H47" s="50" t="str">
        <f>IF(AND(H$8&gt;=INDEX('작업 관리'!$E$9:$E$61,MATCH($A47,'작업 관리'!$A$9:$A$61,0)),H$8&lt;=INDEX('작업 관리'!$F$9:$F$61,MATCH($A47,'작업 관리'!$A$9:$A$61,0))),1,"")</f>
        <v/>
      </c>
      <c r="I47" s="49" t="str">
        <f>IF(AND(I$8&gt;=INDEX('작업 관리'!$E$9:$E$61,MATCH($A47,'작업 관리'!$A$9:$A$61,0)),I$8&lt;=INDEX('작업 관리'!$F$9:$F$61,MATCH($A47,'작업 관리'!$A$9:$A$61,0))),1,"")</f>
        <v/>
      </c>
      <c r="J47" s="49" t="str">
        <f>IF(AND(J$8&gt;=INDEX('작업 관리'!$E$9:$E$61,MATCH($A47,'작업 관리'!$A$9:$A$61,0)),J$8&lt;=INDEX('작업 관리'!$F$9:$F$61,MATCH($A47,'작업 관리'!$A$9:$A$61,0))),1,"")</f>
        <v/>
      </c>
      <c r="K47" s="49">
        <f>IF(AND(K$8&gt;=INDEX('작업 관리'!$E$9:$E$61,MATCH($A47,'작업 관리'!$A$9:$A$61,0)),K$8&lt;=INDEX('작업 관리'!$F$9:$F$61,MATCH($A47,'작업 관리'!$A$9:$A$61,0))),1,"")</f>
        <v>1</v>
      </c>
      <c r="L47" s="49" t="str">
        <f>IF(AND(L$8&gt;=INDEX('작업 관리'!$E$9:$E$61,MATCH($A47,'작업 관리'!$A$9:$A$61,0)),L$8&lt;=INDEX('작업 관리'!$F$9:$F$61,MATCH($A47,'작업 관리'!$A$9:$A$61,0))),1,"")</f>
        <v/>
      </c>
      <c r="M47" s="49" t="str">
        <f>IF(AND(M$8&gt;=INDEX('작업 관리'!$E$9:$E$61,MATCH($A47,'작업 관리'!$A$9:$A$61,0)),M$8&lt;=INDEX('작업 관리'!$F$9:$F$61,MATCH($A47,'작업 관리'!$A$9:$A$61,0))),1,"")</f>
        <v/>
      </c>
      <c r="N47" s="50" t="str">
        <f>IF(AND(N$8&gt;=INDEX('작업 관리'!$E$9:$E$61,MATCH($A47,'작업 관리'!$A$9:$A$61,0)),N$8&lt;=INDEX('작업 관리'!$F$9:$F$61,MATCH($A47,'작업 관리'!$A$9:$A$61,0))),1,"")</f>
        <v/>
      </c>
      <c r="O47" s="50" t="str">
        <f>IF(AND(O$8&gt;=INDEX('작업 관리'!$E$9:$E$61,MATCH($A47,'작업 관리'!$A$9:$A$61,0)),O$8&lt;=INDEX('작업 관리'!$F$9:$F$61,MATCH($A47,'작업 관리'!$A$9:$A$61,0))),1,"")</f>
        <v/>
      </c>
      <c r="P47" s="49" t="str">
        <f>IF(AND(P$8&gt;=INDEX('작업 관리'!$E$9:$E$61,MATCH($A47,'작업 관리'!$A$9:$A$61,0)),P$8&lt;=INDEX('작업 관리'!$F$9:$F$61,MATCH($A47,'작업 관리'!$A$9:$A$61,0))),1,"")</f>
        <v/>
      </c>
      <c r="Q47" s="49" t="str">
        <f>IF(AND(Q$8&gt;=INDEX('작업 관리'!$E$9:$E$61,MATCH($A47,'작업 관리'!$A$9:$A$61,0)),Q$8&lt;=INDEX('작업 관리'!$F$9:$F$61,MATCH($A47,'작업 관리'!$A$9:$A$61,0))),1,"")</f>
        <v/>
      </c>
      <c r="R47" s="49" t="str">
        <f>IF(AND(R$8&gt;=INDEX('작업 관리'!$E$9:$E$61,MATCH($A47,'작업 관리'!$A$9:$A$61,0)),R$8&lt;=INDEX('작업 관리'!$F$9:$F$61,MATCH($A47,'작업 관리'!$A$9:$A$61,0))),1,"")</f>
        <v/>
      </c>
      <c r="S47" s="49" t="str">
        <f>IF(AND(S$8&gt;=INDEX('작업 관리'!$E$9:$E$61,MATCH($A47,'작업 관리'!$A$9:$A$61,0)),S$8&lt;=INDEX('작업 관리'!$F$9:$F$61,MATCH($A47,'작업 관리'!$A$9:$A$61,0))),1,"")</f>
        <v/>
      </c>
    </row>
    <row r="48" spans="1:19" ht="16.5">
      <c r="A48" s="39" t="s">
        <v>165</v>
      </c>
      <c r="B48" s="15" t="s">
        <v>166</v>
      </c>
      <c r="C48" s="15" t="s">
        <v>88</v>
      </c>
      <c r="D48" s="51" t="str">
        <f>IF(AND(D$8&gt;=INDEX('작업 관리'!$E$9:$E$61,MATCH($A48,'작업 관리'!$A$9:$A$61,0)),D$8&lt;=INDEX('작업 관리'!$F$9:$F$61,MATCH($A48,'작업 관리'!$A$9:$A$61,0))),1,"")</f>
        <v/>
      </c>
      <c r="E48" s="51" t="str">
        <f>IF(AND(E$8&gt;=INDEX('작업 관리'!$E$9:$E$61,MATCH($A48,'작업 관리'!$A$9:$A$61,0)),E$8&lt;=INDEX('작업 관리'!$F$9:$F$61,MATCH($A48,'작업 관리'!$A$9:$A$61,0))),1,"")</f>
        <v/>
      </c>
      <c r="F48" s="51" t="str">
        <f>IF(AND(F$8&gt;=INDEX('작업 관리'!$E$9:$E$61,MATCH($A48,'작업 관리'!$A$9:$A$61,0)),F$8&lt;=INDEX('작업 관리'!$F$9:$F$61,MATCH($A48,'작업 관리'!$A$9:$A$61,0))),1,"")</f>
        <v/>
      </c>
      <c r="G48" s="50" t="str">
        <f>IF(AND(G$8&gt;=INDEX('작업 관리'!$E$9:$E$61,MATCH($A48,'작업 관리'!$A$9:$A$61,0)),G$8&lt;=INDEX('작업 관리'!$F$9:$F$61,MATCH($A48,'작업 관리'!$A$9:$A$61,0))),1,"")</f>
        <v/>
      </c>
      <c r="H48" s="50" t="str">
        <f>IF(AND(H$8&gt;=INDEX('작업 관리'!$E$9:$E$61,MATCH($A48,'작업 관리'!$A$9:$A$61,0)),H$8&lt;=INDEX('작업 관리'!$F$9:$F$61,MATCH($A48,'작업 관리'!$A$9:$A$61,0))),1,"")</f>
        <v/>
      </c>
      <c r="I48" s="51" t="str">
        <f>IF(AND(I$8&gt;=INDEX('작업 관리'!$E$9:$E$61,MATCH($A48,'작업 관리'!$A$9:$A$61,0)),I$8&lt;=INDEX('작업 관리'!$F$9:$F$61,MATCH($A48,'작업 관리'!$A$9:$A$61,0))),1,"")</f>
        <v/>
      </c>
      <c r="J48" s="51" t="str">
        <f>IF(AND(J$8&gt;=INDEX('작업 관리'!$E$9:$E$61,MATCH($A48,'작업 관리'!$A$9:$A$61,0)),J$8&lt;=INDEX('작업 관리'!$F$9:$F$61,MATCH($A48,'작업 관리'!$A$9:$A$61,0))),1,"")</f>
        <v/>
      </c>
      <c r="K48" s="51">
        <f>IF(AND(K$8&gt;=INDEX('작업 관리'!$E$9:$E$61,MATCH($A48,'작업 관리'!$A$9:$A$61,0)),K$8&lt;=INDEX('작업 관리'!$F$9:$F$61,MATCH($A48,'작업 관리'!$A$9:$A$61,0))),1,"")</f>
        <v>1</v>
      </c>
      <c r="L48" s="51">
        <f>IF(AND(L$8&gt;=INDEX('작업 관리'!$E$9:$E$61,MATCH($A48,'작업 관리'!$A$9:$A$61,0)),L$8&lt;=INDEX('작업 관리'!$F$9:$F$61,MATCH($A48,'작업 관리'!$A$9:$A$61,0))),1,"")</f>
        <v>1</v>
      </c>
      <c r="M48" s="51" t="str">
        <f>IF(AND(M$8&gt;=INDEX('작업 관리'!$E$9:$E$61,MATCH($A48,'작업 관리'!$A$9:$A$61,0)),M$8&lt;=INDEX('작업 관리'!$F$9:$F$61,MATCH($A48,'작업 관리'!$A$9:$A$61,0))),1,"")</f>
        <v/>
      </c>
      <c r="N48" s="50" t="str">
        <f>IF(AND(N$8&gt;=INDEX('작업 관리'!$E$9:$E$61,MATCH($A48,'작업 관리'!$A$9:$A$61,0)),N$8&lt;=INDEX('작업 관리'!$F$9:$F$61,MATCH($A48,'작업 관리'!$A$9:$A$61,0))),1,"")</f>
        <v/>
      </c>
      <c r="O48" s="50" t="str">
        <f>IF(AND(O$8&gt;=INDEX('작업 관리'!$E$9:$E$61,MATCH($A48,'작업 관리'!$A$9:$A$61,0)),O$8&lt;=INDEX('작업 관리'!$F$9:$F$61,MATCH($A48,'작업 관리'!$A$9:$A$61,0))),1,"")</f>
        <v/>
      </c>
      <c r="P48" s="51" t="str">
        <f>IF(AND(P$8&gt;=INDEX('작업 관리'!$E$9:$E$61,MATCH($A48,'작업 관리'!$A$9:$A$61,0)),P$8&lt;=INDEX('작업 관리'!$F$9:$F$61,MATCH($A48,'작업 관리'!$A$9:$A$61,0))),1,"")</f>
        <v/>
      </c>
      <c r="Q48" s="51" t="str">
        <f>IF(AND(Q$8&gt;=INDEX('작업 관리'!$E$9:$E$61,MATCH($A48,'작업 관리'!$A$9:$A$61,0)),Q$8&lt;=INDEX('작업 관리'!$F$9:$F$61,MATCH($A48,'작업 관리'!$A$9:$A$61,0))),1,"")</f>
        <v/>
      </c>
      <c r="R48" s="51" t="str">
        <f>IF(AND(R$8&gt;=INDEX('작업 관리'!$E$9:$E$61,MATCH($A48,'작업 관리'!$A$9:$A$61,0)),R$8&lt;=INDEX('작업 관리'!$F$9:$F$61,MATCH($A48,'작업 관리'!$A$9:$A$61,0))),1,"")</f>
        <v/>
      </c>
      <c r="S48" s="51" t="str">
        <f>IF(AND(S$8&gt;=INDEX('작업 관리'!$E$9:$E$61,MATCH($A48,'작업 관리'!$A$9:$A$61,0)),S$8&lt;=INDEX('작업 관리'!$F$9:$F$61,MATCH($A48,'작업 관리'!$A$9:$A$61,0))),1,"")</f>
        <v/>
      </c>
    </row>
    <row r="49" spans="1:19" ht="16.5">
      <c r="A49" s="48" t="s">
        <v>167</v>
      </c>
      <c r="B49" s="1" t="s">
        <v>168</v>
      </c>
      <c r="C49" s="1" t="s">
        <v>122</v>
      </c>
      <c r="D49" s="49" t="str">
        <f>IF(AND(D$8&gt;=INDEX('작업 관리'!$E$9:$E$61,MATCH($A49,'작업 관리'!$A$9:$A$61,0)),D$8&lt;=INDEX('작업 관리'!$F$9:$F$61,MATCH($A49,'작업 관리'!$A$9:$A$61,0))),1,"")</f>
        <v/>
      </c>
      <c r="E49" s="49" t="str">
        <f>IF(AND(E$8&gt;=INDEX('작업 관리'!$E$9:$E$61,MATCH($A49,'작업 관리'!$A$9:$A$61,0)),E$8&lt;=INDEX('작업 관리'!$F$9:$F$61,MATCH($A49,'작업 관리'!$A$9:$A$61,0))),1,"")</f>
        <v/>
      </c>
      <c r="F49" s="49" t="str">
        <f>IF(AND(F$8&gt;=INDEX('작업 관리'!$E$9:$E$61,MATCH($A49,'작업 관리'!$A$9:$A$61,0)),F$8&lt;=INDEX('작업 관리'!$F$9:$F$61,MATCH($A49,'작업 관리'!$A$9:$A$61,0))),1,"")</f>
        <v/>
      </c>
      <c r="G49" s="50" t="str">
        <f>IF(AND(G$8&gt;=INDEX('작업 관리'!$E$9:$E$61,MATCH($A49,'작업 관리'!$A$9:$A$61,0)),G$8&lt;=INDEX('작업 관리'!$F$9:$F$61,MATCH($A49,'작업 관리'!$A$9:$A$61,0))),1,"")</f>
        <v/>
      </c>
      <c r="H49" s="50" t="str">
        <f>IF(AND(H$8&gt;=INDEX('작업 관리'!$E$9:$E$61,MATCH($A49,'작업 관리'!$A$9:$A$61,0)),H$8&lt;=INDEX('작업 관리'!$F$9:$F$61,MATCH($A49,'작업 관리'!$A$9:$A$61,0))),1,"")</f>
        <v/>
      </c>
      <c r="I49" s="49" t="str">
        <f>IF(AND(I$8&gt;=INDEX('작업 관리'!$E$9:$E$61,MATCH($A49,'작업 관리'!$A$9:$A$61,0)),I$8&lt;=INDEX('작업 관리'!$F$9:$F$61,MATCH($A49,'작업 관리'!$A$9:$A$61,0))),1,"")</f>
        <v/>
      </c>
      <c r="J49" s="49" t="str">
        <f>IF(AND(J$8&gt;=INDEX('작업 관리'!$E$9:$E$61,MATCH($A49,'작업 관리'!$A$9:$A$61,0)),J$8&lt;=INDEX('작업 관리'!$F$9:$F$61,MATCH($A49,'작업 관리'!$A$9:$A$61,0))),1,"")</f>
        <v/>
      </c>
      <c r="K49" s="49" t="str">
        <f>IF(AND(K$8&gt;=INDEX('작업 관리'!$E$9:$E$61,MATCH($A49,'작업 관리'!$A$9:$A$61,0)),K$8&lt;=INDEX('작업 관리'!$F$9:$F$61,MATCH($A49,'작업 관리'!$A$9:$A$61,0))),1,"")</f>
        <v/>
      </c>
      <c r="L49" s="49">
        <f>IF(AND(L$8&gt;=INDEX('작업 관리'!$E$9:$E$61,MATCH($A49,'작업 관리'!$A$9:$A$61,0)),L$8&lt;=INDEX('작업 관리'!$F$9:$F$61,MATCH($A49,'작업 관리'!$A$9:$A$61,0))),1,"")</f>
        <v>1</v>
      </c>
      <c r="M49" s="49">
        <f>IF(AND(M$8&gt;=INDEX('작업 관리'!$E$9:$E$61,MATCH($A49,'작업 관리'!$A$9:$A$61,0)),M$8&lt;=INDEX('작업 관리'!$F$9:$F$61,MATCH($A49,'작업 관리'!$A$9:$A$61,0))),1,"")</f>
        <v>1</v>
      </c>
      <c r="N49" s="50" t="str">
        <f>IF(AND(N$8&gt;=INDEX('작업 관리'!$E$9:$E$61,MATCH($A49,'작업 관리'!$A$9:$A$61,0)),N$8&lt;=INDEX('작업 관리'!$F$9:$F$61,MATCH($A49,'작업 관리'!$A$9:$A$61,0))),1,"")</f>
        <v/>
      </c>
      <c r="O49" s="50" t="str">
        <f>IF(AND(O$8&gt;=INDEX('작업 관리'!$E$9:$E$61,MATCH($A49,'작업 관리'!$A$9:$A$61,0)),O$8&lt;=INDEX('작업 관리'!$F$9:$F$61,MATCH($A49,'작업 관리'!$A$9:$A$61,0))),1,"")</f>
        <v/>
      </c>
      <c r="P49" s="49" t="str">
        <f>IF(AND(P$8&gt;=INDEX('작업 관리'!$E$9:$E$61,MATCH($A49,'작업 관리'!$A$9:$A$61,0)),P$8&lt;=INDEX('작업 관리'!$F$9:$F$61,MATCH($A49,'작업 관리'!$A$9:$A$61,0))),1,"")</f>
        <v/>
      </c>
      <c r="Q49" s="49" t="str">
        <f>IF(AND(Q$8&gt;=INDEX('작업 관리'!$E$9:$E$61,MATCH($A49,'작업 관리'!$A$9:$A$61,0)),Q$8&lt;=INDEX('작업 관리'!$F$9:$F$61,MATCH($A49,'작업 관리'!$A$9:$A$61,0))),1,"")</f>
        <v/>
      </c>
      <c r="R49" s="49" t="str">
        <f>IF(AND(R$8&gt;=INDEX('작업 관리'!$E$9:$E$61,MATCH($A49,'작업 관리'!$A$9:$A$61,0)),R$8&lt;=INDEX('작업 관리'!$F$9:$F$61,MATCH($A49,'작업 관리'!$A$9:$A$61,0))),1,"")</f>
        <v/>
      </c>
      <c r="S49" s="49" t="str">
        <f>IF(AND(S$8&gt;=INDEX('작업 관리'!$E$9:$E$61,MATCH($A49,'작업 관리'!$A$9:$A$61,0)),S$8&lt;=INDEX('작업 관리'!$F$9:$F$61,MATCH($A49,'작업 관리'!$A$9:$A$61,0))),1,"")</f>
        <v/>
      </c>
    </row>
    <row r="50" spans="1:19" ht="16.5">
      <c r="A50" s="39" t="s">
        <v>169</v>
      </c>
      <c r="B50" s="15" t="s">
        <v>170</v>
      </c>
      <c r="C50" s="15" t="s">
        <v>122</v>
      </c>
      <c r="D50" s="51" t="str">
        <f>IF(AND(D$8&gt;=INDEX('작업 관리'!$E$9:$E$61,MATCH($A50,'작업 관리'!$A$9:$A$61,0)),D$8&lt;=INDEX('작업 관리'!$F$9:$F$61,MATCH($A50,'작업 관리'!$A$9:$A$61,0))),1,"")</f>
        <v/>
      </c>
      <c r="E50" s="51" t="str">
        <f>IF(AND(E$8&gt;=INDEX('작업 관리'!$E$9:$E$61,MATCH($A50,'작업 관리'!$A$9:$A$61,0)),E$8&lt;=INDEX('작업 관리'!$F$9:$F$61,MATCH($A50,'작업 관리'!$A$9:$A$61,0))),1,"")</f>
        <v/>
      </c>
      <c r="F50" s="51" t="str">
        <f>IF(AND(F$8&gt;=INDEX('작업 관리'!$E$9:$E$61,MATCH($A50,'작업 관리'!$A$9:$A$61,0)),F$8&lt;=INDEX('작업 관리'!$F$9:$F$61,MATCH($A50,'작업 관리'!$A$9:$A$61,0))),1,"")</f>
        <v/>
      </c>
      <c r="G50" s="50" t="str">
        <f>IF(AND(G$8&gt;=INDEX('작업 관리'!$E$9:$E$61,MATCH($A50,'작업 관리'!$A$9:$A$61,0)),G$8&lt;=INDEX('작업 관리'!$F$9:$F$61,MATCH($A50,'작업 관리'!$A$9:$A$61,0))),1,"")</f>
        <v/>
      </c>
      <c r="H50" s="50" t="str">
        <f>IF(AND(H$8&gt;=INDEX('작업 관리'!$E$9:$E$61,MATCH($A50,'작업 관리'!$A$9:$A$61,0)),H$8&lt;=INDEX('작업 관리'!$F$9:$F$61,MATCH($A50,'작업 관리'!$A$9:$A$61,0))),1,"")</f>
        <v/>
      </c>
      <c r="I50" s="51" t="str">
        <f>IF(AND(I$8&gt;=INDEX('작업 관리'!$E$9:$E$61,MATCH($A50,'작업 관리'!$A$9:$A$61,0)),I$8&lt;=INDEX('작업 관리'!$F$9:$F$61,MATCH($A50,'작업 관리'!$A$9:$A$61,0))),1,"")</f>
        <v/>
      </c>
      <c r="J50" s="51" t="str">
        <f>IF(AND(J$8&gt;=INDEX('작업 관리'!$E$9:$E$61,MATCH($A50,'작업 관리'!$A$9:$A$61,0)),J$8&lt;=INDEX('작업 관리'!$F$9:$F$61,MATCH($A50,'작업 관리'!$A$9:$A$61,0))),1,"")</f>
        <v/>
      </c>
      <c r="K50" s="51" t="str">
        <f>IF(AND(K$8&gt;=INDEX('작업 관리'!$E$9:$E$61,MATCH($A50,'작업 관리'!$A$9:$A$61,0)),K$8&lt;=INDEX('작업 관리'!$F$9:$F$61,MATCH($A50,'작업 관리'!$A$9:$A$61,0))),1,"")</f>
        <v/>
      </c>
      <c r="L50" s="51" t="str">
        <f>IF(AND(L$8&gt;=INDEX('작업 관리'!$E$9:$E$61,MATCH($A50,'작업 관리'!$A$9:$A$61,0)),L$8&lt;=INDEX('작업 관리'!$F$9:$F$61,MATCH($A50,'작업 관리'!$A$9:$A$61,0))),1,"")</f>
        <v/>
      </c>
      <c r="M50" s="51">
        <f>IF(AND(M$8&gt;=INDEX('작업 관리'!$E$9:$E$61,MATCH($A50,'작업 관리'!$A$9:$A$61,0)),M$8&lt;=INDEX('작업 관리'!$F$9:$F$61,MATCH($A50,'작업 관리'!$A$9:$A$61,0))),1,"")</f>
        <v>1</v>
      </c>
      <c r="N50" s="50" t="str">
        <f>IF(AND(N$8&gt;=INDEX('작업 관리'!$E$9:$E$61,MATCH($A50,'작업 관리'!$A$9:$A$61,0)),N$8&lt;=INDEX('작업 관리'!$F$9:$F$61,MATCH($A50,'작업 관리'!$A$9:$A$61,0))),1,"")</f>
        <v/>
      </c>
      <c r="O50" s="50" t="str">
        <f>IF(AND(O$8&gt;=INDEX('작업 관리'!$E$9:$E$61,MATCH($A50,'작업 관리'!$A$9:$A$61,0)),O$8&lt;=INDEX('작업 관리'!$F$9:$F$61,MATCH($A50,'작업 관리'!$A$9:$A$61,0))),1,"")</f>
        <v/>
      </c>
      <c r="P50" s="51" t="str">
        <f>IF(AND(P$8&gt;=INDEX('작업 관리'!$E$9:$E$61,MATCH($A50,'작업 관리'!$A$9:$A$61,0)),P$8&lt;=INDEX('작업 관리'!$F$9:$F$61,MATCH($A50,'작업 관리'!$A$9:$A$61,0))),1,"")</f>
        <v/>
      </c>
      <c r="Q50" s="51" t="str">
        <f>IF(AND(Q$8&gt;=INDEX('작업 관리'!$E$9:$E$61,MATCH($A50,'작업 관리'!$A$9:$A$61,0)),Q$8&lt;=INDEX('작업 관리'!$F$9:$F$61,MATCH($A50,'작업 관리'!$A$9:$A$61,0))),1,"")</f>
        <v/>
      </c>
      <c r="R50" s="51" t="str">
        <f>IF(AND(R$8&gt;=INDEX('작업 관리'!$E$9:$E$61,MATCH($A50,'작업 관리'!$A$9:$A$61,0)),R$8&lt;=INDEX('작업 관리'!$F$9:$F$61,MATCH($A50,'작업 관리'!$A$9:$A$61,0))),1,"")</f>
        <v/>
      </c>
      <c r="S50" s="51" t="str">
        <f>IF(AND(S$8&gt;=INDEX('작업 관리'!$E$9:$E$61,MATCH($A50,'작업 관리'!$A$9:$A$61,0)),S$8&lt;=INDEX('작업 관리'!$F$9:$F$61,MATCH($A50,'작업 관리'!$A$9:$A$61,0))),1,"")</f>
        <v/>
      </c>
    </row>
    <row r="51" spans="1:19" ht="16.5">
      <c r="A51" s="48" t="s">
        <v>171</v>
      </c>
      <c r="B51" s="1" t="s">
        <v>172</v>
      </c>
      <c r="C51" s="1" t="s">
        <v>8</v>
      </c>
      <c r="D51" s="49" t="str">
        <f>IF(AND(D$8&gt;=INDEX('작업 관리'!$E$9:$E$61,MATCH($A51,'작업 관리'!$A$9:$A$61,0)),D$8&lt;=INDEX('작업 관리'!$F$9:$F$61,MATCH($A51,'작업 관리'!$A$9:$A$61,0))),1,"")</f>
        <v/>
      </c>
      <c r="E51" s="49" t="str">
        <f>IF(AND(E$8&gt;=INDEX('작업 관리'!$E$9:$E$61,MATCH($A51,'작업 관리'!$A$9:$A$61,0)),E$8&lt;=INDEX('작업 관리'!$F$9:$F$61,MATCH($A51,'작업 관리'!$A$9:$A$61,0))),1,"")</f>
        <v/>
      </c>
      <c r="F51" s="49" t="str">
        <f>IF(AND(F$8&gt;=INDEX('작업 관리'!$E$9:$E$61,MATCH($A51,'작업 관리'!$A$9:$A$61,0)),F$8&lt;=INDEX('작업 관리'!$F$9:$F$61,MATCH($A51,'작업 관리'!$A$9:$A$61,0))),1,"")</f>
        <v/>
      </c>
      <c r="G51" s="50" t="str">
        <f>IF(AND(G$8&gt;=INDEX('작업 관리'!$E$9:$E$61,MATCH($A51,'작업 관리'!$A$9:$A$61,0)),G$8&lt;=INDEX('작업 관리'!$F$9:$F$61,MATCH($A51,'작업 관리'!$A$9:$A$61,0))),1,"")</f>
        <v/>
      </c>
      <c r="H51" s="50" t="str">
        <f>IF(AND(H$8&gt;=INDEX('작업 관리'!$E$9:$E$61,MATCH($A51,'작업 관리'!$A$9:$A$61,0)),H$8&lt;=INDEX('작업 관리'!$F$9:$F$61,MATCH($A51,'작업 관리'!$A$9:$A$61,0))),1,"")</f>
        <v/>
      </c>
      <c r="I51" s="49" t="str">
        <f>IF(AND(I$8&gt;=INDEX('작업 관리'!$E$9:$E$61,MATCH($A51,'작업 관리'!$A$9:$A$61,0)),I$8&lt;=INDEX('작업 관리'!$F$9:$F$61,MATCH($A51,'작업 관리'!$A$9:$A$61,0))),1,"")</f>
        <v/>
      </c>
      <c r="J51" s="49" t="str">
        <f>IF(AND(J$8&gt;=INDEX('작업 관리'!$E$9:$E$61,MATCH($A51,'작업 관리'!$A$9:$A$61,0)),J$8&lt;=INDEX('작업 관리'!$F$9:$F$61,MATCH($A51,'작업 관리'!$A$9:$A$61,0))),1,"")</f>
        <v/>
      </c>
      <c r="K51" s="49" t="str">
        <f>IF(AND(K$8&gt;=INDEX('작업 관리'!$E$9:$E$61,MATCH($A51,'작업 관리'!$A$9:$A$61,0)),K$8&lt;=INDEX('작업 관리'!$F$9:$F$61,MATCH($A51,'작업 관리'!$A$9:$A$61,0))),1,"")</f>
        <v/>
      </c>
      <c r="L51" s="49" t="str">
        <f>IF(AND(L$8&gt;=INDEX('작업 관리'!$E$9:$E$61,MATCH($A51,'작업 관리'!$A$9:$A$61,0)),L$8&lt;=INDEX('작업 관리'!$F$9:$F$61,MATCH($A51,'작업 관리'!$A$9:$A$61,0))),1,"")</f>
        <v/>
      </c>
      <c r="M51" s="49" t="str">
        <f>IF(AND(M$8&gt;=INDEX('작업 관리'!$E$9:$E$61,MATCH($A51,'작업 관리'!$A$9:$A$61,0)),M$8&lt;=INDEX('작업 관리'!$F$9:$F$61,MATCH($A51,'작업 관리'!$A$9:$A$61,0))),1,"")</f>
        <v/>
      </c>
      <c r="N51" s="50">
        <f>IF(AND(N$8&gt;=INDEX('작업 관리'!$E$9:$E$61,MATCH($A51,'작업 관리'!$A$9:$A$61,0)),N$8&lt;=INDEX('작업 관리'!$F$9:$F$61,MATCH($A51,'작업 관리'!$A$9:$A$61,0))),1,"")</f>
        <v>1</v>
      </c>
      <c r="O51" s="50" t="str">
        <f>IF(AND(O$8&gt;=INDEX('작업 관리'!$E$9:$E$61,MATCH($A51,'작업 관리'!$A$9:$A$61,0)),O$8&lt;=INDEX('작업 관리'!$F$9:$F$61,MATCH($A51,'작업 관리'!$A$9:$A$61,0))),1,"")</f>
        <v/>
      </c>
      <c r="P51" s="49" t="str">
        <f>IF(AND(P$8&gt;=INDEX('작업 관리'!$E$9:$E$61,MATCH($A51,'작업 관리'!$A$9:$A$61,0)),P$8&lt;=INDEX('작업 관리'!$F$9:$F$61,MATCH($A51,'작업 관리'!$A$9:$A$61,0))),1,"")</f>
        <v/>
      </c>
      <c r="Q51" s="49" t="str">
        <f>IF(AND(Q$8&gt;=INDEX('작업 관리'!$E$9:$E$61,MATCH($A51,'작업 관리'!$A$9:$A$61,0)),Q$8&lt;=INDEX('작업 관리'!$F$9:$F$61,MATCH($A51,'작업 관리'!$A$9:$A$61,0))),1,"")</f>
        <v/>
      </c>
      <c r="R51" s="49" t="str">
        <f>IF(AND(R$8&gt;=INDEX('작업 관리'!$E$9:$E$61,MATCH($A51,'작업 관리'!$A$9:$A$61,0)),R$8&lt;=INDEX('작업 관리'!$F$9:$F$61,MATCH($A51,'작업 관리'!$A$9:$A$61,0))),1,"")</f>
        <v/>
      </c>
      <c r="S51" s="49" t="str">
        <f>IF(AND(S$8&gt;=INDEX('작업 관리'!$E$9:$E$61,MATCH($A51,'작업 관리'!$A$9:$A$61,0)),S$8&lt;=INDEX('작업 관리'!$F$9:$F$61,MATCH($A51,'작업 관리'!$A$9:$A$61,0))),1,"")</f>
        <v/>
      </c>
    </row>
    <row r="52" spans="1:19" ht="16.5">
      <c r="A52" s="39" t="s">
        <v>173</v>
      </c>
      <c r="B52" s="15" t="s">
        <v>174</v>
      </c>
      <c r="C52" s="15" t="s">
        <v>122</v>
      </c>
      <c r="D52" s="51" t="str">
        <f>IF(AND(D$8&gt;=INDEX('작업 관리'!$E$9:$E$61,MATCH($A52,'작업 관리'!$A$9:$A$61,0)),D$8&lt;=INDEX('작업 관리'!$F$9:$F$61,MATCH($A52,'작업 관리'!$A$9:$A$61,0))),1,"")</f>
        <v/>
      </c>
      <c r="E52" s="51" t="str">
        <f>IF(AND(E$8&gt;=INDEX('작업 관리'!$E$9:$E$61,MATCH($A52,'작업 관리'!$A$9:$A$61,0)),E$8&lt;=INDEX('작업 관리'!$F$9:$F$61,MATCH($A52,'작업 관리'!$A$9:$A$61,0))),1,"")</f>
        <v/>
      </c>
      <c r="F52" s="51" t="str">
        <f>IF(AND(F$8&gt;=INDEX('작업 관리'!$E$9:$E$61,MATCH($A52,'작업 관리'!$A$9:$A$61,0)),F$8&lt;=INDEX('작업 관리'!$F$9:$F$61,MATCH($A52,'작업 관리'!$A$9:$A$61,0))),1,"")</f>
        <v/>
      </c>
      <c r="G52" s="50" t="str">
        <f>IF(AND(G$8&gt;=INDEX('작업 관리'!$E$9:$E$61,MATCH($A52,'작업 관리'!$A$9:$A$61,0)),G$8&lt;=INDEX('작업 관리'!$F$9:$F$61,MATCH($A52,'작업 관리'!$A$9:$A$61,0))),1,"")</f>
        <v/>
      </c>
      <c r="H52" s="50" t="str">
        <f>IF(AND(H$8&gt;=INDEX('작업 관리'!$E$9:$E$61,MATCH($A52,'작업 관리'!$A$9:$A$61,0)),H$8&lt;=INDEX('작업 관리'!$F$9:$F$61,MATCH($A52,'작업 관리'!$A$9:$A$61,0))),1,"")</f>
        <v/>
      </c>
      <c r="I52" s="51" t="str">
        <f>IF(AND(I$8&gt;=INDEX('작업 관리'!$E$9:$E$61,MATCH($A52,'작업 관리'!$A$9:$A$61,0)),I$8&lt;=INDEX('작업 관리'!$F$9:$F$61,MATCH($A52,'작업 관리'!$A$9:$A$61,0))),1,"")</f>
        <v/>
      </c>
      <c r="J52" s="51" t="str">
        <f>IF(AND(J$8&gt;=INDEX('작업 관리'!$E$9:$E$61,MATCH($A52,'작업 관리'!$A$9:$A$61,0)),J$8&lt;=INDEX('작업 관리'!$F$9:$F$61,MATCH($A52,'작업 관리'!$A$9:$A$61,0))),1,"")</f>
        <v/>
      </c>
      <c r="K52" s="51" t="str">
        <f>IF(AND(K$8&gt;=INDEX('작업 관리'!$E$9:$E$61,MATCH($A52,'작업 관리'!$A$9:$A$61,0)),K$8&lt;=INDEX('작업 관리'!$F$9:$F$61,MATCH($A52,'작업 관리'!$A$9:$A$61,0))),1,"")</f>
        <v/>
      </c>
      <c r="L52" s="51" t="str">
        <f>IF(AND(L$8&gt;=INDEX('작업 관리'!$E$9:$E$61,MATCH($A52,'작업 관리'!$A$9:$A$61,0)),L$8&lt;=INDEX('작업 관리'!$F$9:$F$61,MATCH($A52,'작업 관리'!$A$9:$A$61,0))),1,"")</f>
        <v/>
      </c>
      <c r="M52" s="51" t="str">
        <f>IF(AND(M$8&gt;=INDEX('작업 관리'!$E$9:$E$61,MATCH($A52,'작업 관리'!$A$9:$A$61,0)),M$8&lt;=INDEX('작업 관리'!$F$9:$F$61,MATCH($A52,'작업 관리'!$A$9:$A$61,0))),1,"")</f>
        <v/>
      </c>
      <c r="N52" s="50">
        <f>IF(AND(N$8&gt;=INDEX('작업 관리'!$E$9:$E$61,MATCH($A52,'작업 관리'!$A$9:$A$61,0)),N$8&lt;=INDEX('작업 관리'!$F$9:$F$61,MATCH($A52,'작업 관리'!$A$9:$A$61,0))),1,"")</f>
        <v>1</v>
      </c>
      <c r="O52" s="50" t="str">
        <f>IF(AND(O$8&gt;=INDEX('작업 관리'!$E$9:$E$61,MATCH($A52,'작업 관리'!$A$9:$A$61,0)),O$8&lt;=INDEX('작업 관리'!$F$9:$F$61,MATCH($A52,'작업 관리'!$A$9:$A$61,0))),1,"")</f>
        <v/>
      </c>
      <c r="P52" s="51" t="str">
        <f>IF(AND(P$8&gt;=INDEX('작업 관리'!$E$9:$E$61,MATCH($A52,'작업 관리'!$A$9:$A$61,0)),P$8&lt;=INDEX('작업 관리'!$F$9:$F$61,MATCH($A52,'작업 관리'!$A$9:$A$61,0))),1,"")</f>
        <v/>
      </c>
      <c r="Q52" s="51" t="str">
        <f>IF(AND(Q$8&gt;=INDEX('작업 관리'!$E$9:$E$61,MATCH($A52,'작업 관리'!$A$9:$A$61,0)),Q$8&lt;=INDEX('작업 관리'!$F$9:$F$61,MATCH($A52,'작업 관리'!$A$9:$A$61,0))),1,"")</f>
        <v/>
      </c>
      <c r="R52" s="51" t="str">
        <f>IF(AND(R$8&gt;=INDEX('작업 관리'!$E$9:$E$61,MATCH($A52,'작업 관리'!$A$9:$A$61,0)),R$8&lt;=INDEX('작업 관리'!$F$9:$F$61,MATCH($A52,'작업 관리'!$A$9:$A$61,0))),1,"")</f>
        <v/>
      </c>
      <c r="S52" s="51" t="str">
        <f>IF(AND(S$8&gt;=INDEX('작업 관리'!$E$9:$E$61,MATCH($A52,'작업 관리'!$A$9:$A$61,0)),S$8&lt;=INDEX('작업 관리'!$F$9:$F$61,MATCH($A52,'작업 관리'!$A$9:$A$61,0))),1,"")</f>
        <v/>
      </c>
    </row>
    <row r="53" spans="1:19" ht="16.5">
      <c r="A53" s="48" t="s">
        <v>175</v>
      </c>
      <c r="B53" s="1" t="s">
        <v>176</v>
      </c>
      <c r="C53" s="1" t="s">
        <v>122</v>
      </c>
      <c r="D53" s="49" t="str">
        <f>IF(AND(D$8&gt;=INDEX('작업 관리'!$E$9:$E$61,MATCH($A53,'작업 관리'!$A$9:$A$61,0)),D$8&lt;=INDEX('작업 관리'!$F$9:$F$61,MATCH($A53,'작업 관리'!$A$9:$A$61,0))),1,"")</f>
        <v/>
      </c>
      <c r="E53" s="49" t="str">
        <f>IF(AND(E$8&gt;=INDEX('작업 관리'!$E$9:$E$61,MATCH($A53,'작업 관리'!$A$9:$A$61,0)),E$8&lt;=INDEX('작업 관리'!$F$9:$F$61,MATCH($A53,'작업 관리'!$A$9:$A$61,0))),1,"")</f>
        <v/>
      </c>
      <c r="F53" s="49" t="str">
        <f>IF(AND(F$8&gt;=INDEX('작업 관리'!$E$9:$E$61,MATCH($A53,'작업 관리'!$A$9:$A$61,0)),F$8&lt;=INDEX('작업 관리'!$F$9:$F$61,MATCH($A53,'작업 관리'!$A$9:$A$61,0))),1,"")</f>
        <v/>
      </c>
      <c r="G53" s="50" t="str">
        <f>IF(AND(G$8&gt;=INDEX('작업 관리'!$E$9:$E$61,MATCH($A53,'작업 관리'!$A$9:$A$61,0)),G$8&lt;=INDEX('작업 관리'!$F$9:$F$61,MATCH($A53,'작업 관리'!$A$9:$A$61,0))),1,"")</f>
        <v/>
      </c>
      <c r="H53" s="50" t="str">
        <f>IF(AND(H$8&gt;=INDEX('작업 관리'!$E$9:$E$61,MATCH($A53,'작업 관리'!$A$9:$A$61,0)),H$8&lt;=INDEX('작업 관리'!$F$9:$F$61,MATCH($A53,'작업 관리'!$A$9:$A$61,0))),1,"")</f>
        <v/>
      </c>
      <c r="I53" s="49" t="str">
        <f>IF(AND(I$8&gt;=INDEX('작업 관리'!$E$9:$E$61,MATCH($A53,'작업 관리'!$A$9:$A$61,0)),I$8&lt;=INDEX('작업 관리'!$F$9:$F$61,MATCH($A53,'작업 관리'!$A$9:$A$61,0))),1,"")</f>
        <v/>
      </c>
      <c r="J53" s="49" t="str">
        <f>IF(AND(J$8&gt;=INDEX('작업 관리'!$E$9:$E$61,MATCH($A53,'작업 관리'!$A$9:$A$61,0)),J$8&lt;=INDEX('작업 관리'!$F$9:$F$61,MATCH($A53,'작업 관리'!$A$9:$A$61,0))),1,"")</f>
        <v/>
      </c>
      <c r="K53" s="49" t="str">
        <f>IF(AND(K$8&gt;=INDEX('작업 관리'!$E$9:$E$61,MATCH($A53,'작업 관리'!$A$9:$A$61,0)),K$8&lt;=INDEX('작업 관리'!$F$9:$F$61,MATCH($A53,'작업 관리'!$A$9:$A$61,0))),1,"")</f>
        <v/>
      </c>
      <c r="L53" s="49" t="str">
        <f>IF(AND(L$8&gt;=INDEX('작업 관리'!$E$9:$E$61,MATCH($A53,'작업 관리'!$A$9:$A$61,0)),L$8&lt;=INDEX('작업 관리'!$F$9:$F$61,MATCH($A53,'작업 관리'!$A$9:$A$61,0))),1,"")</f>
        <v/>
      </c>
      <c r="M53" s="49" t="str">
        <f>IF(AND(M$8&gt;=INDEX('작업 관리'!$E$9:$E$61,MATCH($A53,'작업 관리'!$A$9:$A$61,0)),M$8&lt;=INDEX('작업 관리'!$F$9:$F$61,MATCH($A53,'작업 관리'!$A$9:$A$61,0))),1,"")</f>
        <v/>
      </c>
      <c r="N53" s="50" t="str">
        <f>IF(AND(N$8&gt;=INDEX('작업 관리'!$E$9:$E$61,MATCH($A53,'작업 관리'!$A$9:$A$61,0)),N$8&lt;=INDEX('작업 관리'!$F$9:$F$61,MATCH($A53,'작업 관리'!$A$9:$A$61,0))),1,"")</f>
        <v/>
      </c>
      <c r="O53" s="50" t="str">
        <f>IF(AND(O$8&gt;=INDEX('작업 관리'!$E$9:$E$61,MATCH($A53,'작업 관리'!$A$9:$A$61,0)),O$8&lt;=INDEX('작업 관리'!$F$9:$F$61,MATCH($A53,'작업 관리'!$A$9:$A$61,0))),1,"")</f>
        <v/>
      </c>
      <c r="P53" s="49">
        <f>IF(AND(P$8&gt;=INDEX('작업 관리'!$E$9:$E$61,MATCH($A53,'작업 관리'!$A$9:$A$61,0)),P$8&lt;=INDEX('작업 관리'!$F$9:$F$61,MATCH($A53,'작업 관리'!$A$9:$A$61,0))),1,"")</f>
        <v>1</v>
      </c>
      <c r="Q53" s="49" t="str">
        <f>IF(AND(Q$8&gt;=INDEX('작업 관리'!$E$9:$E$61,MATCH($A53,'작업 관리'!$A$9:$A$61,0)),Q$8&lt;=INDEX('작업 관리'!$F$9:$F$61,MATCH($A53,'작업 관리'!$A$9:$A$61,0))),1,"")</f>
        <v/>
      </c>
      <c r="R53" s="49" t="str">
        <f>IF(AND(R$8&gt;=INDEX('작업 관리'!$E$9:$E$61,MATCH($A53,'작업 관리'!$A$9:$A$61,0)),R$8&lt;=INDEX('작업 관리'!$F$9:$F$61,MATCH($A53,'작업 관리'!$A$9:$A$61,0))),1,"")</f>
        <v/>
      </c>
      <c r="S53" s="49" t="str">
        <f>IF(AND(S$8&gt;=INDEX('작업 관리'!$E$9:$E$61,MATCH($A53,'작업 관리'!$A$9:$A$61,0)),S$8&lt;=INDEX('작업 관리'!$F$9:$F$61,MATCH($A53,'작업 관리'!$A$9:$A$61,0))),1,"")</f>
        <v/>
      </c>
    </row>
    <row r="54" spans="1:19" ht="16.5">
      <c r="A54" s="39" t="s">
        <v>177</v>
      </c>
      <c r="B54" s="15" t="s">
        <v>178</v>
      </c>
      <c r="C54" s="15" t="s">
        <v>8</v>
      </c>
      <c r="D54" s="51" t="str">
        <f>IF(AND(D$8&gt;=INDEX('작업 관리'!$E$9:$E$61,MATCH($A54,'작업 관리'!$A$9:$A$61,0)),D$8&lt;=INDEX('작업 관리'!$F$9:$F$61,MATCH($A54,'작업 관리'!$A$9:$A$61,0))),1,"")</f>
        <v/>
      </c>
      <c r="E54" s="51" t="str">
        <f>IF(AND(E$8&gt;=INDEX('작업 관리'!$E$9:$E$61,MATCH($A54,'작업 관리'!$A$9:$A$61,0)),E$8&lt;=INDEX('작업 관리'!$F$9:$F$61,MATCH($A54,'작업 관리'!$A$9:$A$61,0))),1,"")</f>
        <v/>
      </c>
      <c r="F54" s="51" t="str">
        <f>IF(AND(F$8&gt;=INDEX('작업 관리'!$E$9:$E$61,MATCH($A54,'작업 관리'!$A$9:$A$61,0)),F$8&lt;=INDEX('작업 관리'!$F$9:$F$61,MATCH($A54,'작업 관리'!$A$9:$A$61,0))),1,"")</f>
        <v/>
      </c>
      <c r="G54" s="50" t="str">
        <f>IF(AND(G$8&gt;=INDEX('작업 관리'!$E$9:$E$61,MATCH($A54,'작업 관리'!$A$9:$A$61,0)),G$8&lt;=INDEX('작업 관리'!$F$9:$F$61,MATCH($A54,'작업 관리'!$A$9:$A$61,0))),1,"")</f>
        <v/>
      </c>
      <c r="H54" s="50" t="str">
        <f>IF(AND(H$8&gt;=INDEX('작업 관리'!$E$9:$E$61,MATCH($A54,'작업 관리'!$A$9:$A$61,0)),H$8&lt;=INDEX('작업 관리'!$F$9:$F$61,MATCH($A54,'작업 관리'!$A$9:$A$61,0))),1,"")</f>
        <v/>
      </c>
      <c r="I54" s="51" t="str">
        <f>IF(AND(I$8&gt;=INDEX('작업 관리'!$E$9:$E$61,MATCH($A54,'작업 관리'!$A$9:$A$61,0)),I$8&lt;=INDEX('작업 관리'!$F$9:$F$61,MATCH($A54,'작업 관리'!$A$9:$A$61,0))),1,"")</f>
        <v/>
      </c>
      <c r="J54" s="51" t="str">
        <f>IF(AND(J$8&gt;=INDEX('작업 관리'!$E$9:$E$61,MATCH($A54,'작업 관리'!$A$9:$A$61,0)),J$8&lt;=INDEX('작업 관리'!$F$9:$F$61,MATCH($A54,'작업 관리'!$A$9:$A$61,0))),1,"")</f>
        <v/>
      </c>
      <c r="K54" s="51" t="str">
        <f>IF(AND(K$8&gt;=INDEX('작업 관리'!$E$9:$E$61,MATCH($A54,'작업 관리'!$A$9:$A$61,0)),K$8&lt;=INDEX('작업 관리'!$F$9:$F$61,MATCH($A54,'작업 관리'!$A$9:$A$61,0))),1,"")</f>
        <v/>
      </c>
      <c r="L54" s="51" t="str">
        <f>IF(AND(L$8&gt;=INDEX('작업 관리'!$E$9:$E$61,MATCH($A54,'작업 관리'!$A$9:$A$61,0)),L$8&lt;=INDEX('작업 관리'!$F$9:$F$61,MATCH($A54,'작업 관리'!$A$9:$A$61,0))),1,"")</f>
        <v/>
      </c>
      <c r="M54" s="51" t="str">
        <f>IF(AND(M$8&gt;=INDEX('작업 관리'!$E$9:$E$61,MATCH($A54,'작업 관리'!$A$9:$A$61,0)),M$8&lt;=INDEX('작업 관리'!$F$9:$F$61,MATCH($A54,'작업 관리'!$A$9:$A$61,0))),1,"")</f>
        <v/>
      </c>
      <c r="N54" s="50" t="str">
        <f>IF(AND(N$8&gt;=INDEX('작업 관리'!$E$9:$E$61,MATCH($A54,'작업 관리'!$A$9:$A$61,0)),N$8&lt;=INDEX('작업 관리'!$F$9:$F$61,MATCH($A54,'작업 관리'!$A$9:$A$61,0))),1,"")</f>
        <v/>
      </c>
      <c r="O54" s="50" t="str">
        <f>IF(AND(O$8&gt;=INDEX('작업 관리'!$E$9:$E$61,MATCH($A54,'작업 관리'!$A$9:$A$61,0)),O$8&lt;=INDEX('작업 관리'!$F$9:$F$61,MATCH($A54,'작업 관리'!$A$9:$A$61,0))),1,"")</f>
        <v/>
      </c>
      <c r="P54" s="51">
        <f>IF(AND(P$8&gt;=INDEX('작업 관리'!$E$9:$E$61,MATCH($A54,'작업 관리'!$A$9:$A$61,0)),P$8&lt;=INDEX('작업 관리'!$F$9:$F$61,MATCH($A54,'작업 관리'!$A$9:$A$61,0))),1,"")</f>
        <v>1</v>
      </c>
      <c r="Q54" s="51" t="str">
        <f>IF(AND(Q$8&gt;=INDEX('작업 관리'!$E$9:$E$61,MATCH($A54,'작업 관리'!$A$9:$A$61,0)),Q$8&lt;=INDEX('작업 관리'!$F$9:$F$61,MATCH($A54,'작업 관리'!$A$9:$A$61,0))),1,"")</f>
        <v/>
      </c>
      <c r="R54" s="51" t="str">
        <f>IF(AND(R$8&gt;=INDEX('작업 관리'!$E$9:$E$61,MATCH($A54,'작업 관리'!$A$9:$A$61,0)),R$8&lt;=INDEX('작업 관리'!$F$9:$F$61,MATCH($A54,'작업 관리'!$A$9:$A$61,0))),1,"")</f>
        <v/>
      </c>
      <c r="S54" s="51" t="str">
        <f>IF(AND(S$8&gt;=INDEX('작업 관리'!$E$9:$E$61,MATCH($A54,'작업 관리'!$A$9:$A$61,0)),S$8&lt;=INDEX('작업 관리'!$F$9:$F$61,MATCH($A54,'작업 관리'!$A$9:$A$61,0))),1,"")</f>
        <v/>
      </c>
    </row>
    <row r="55" spans="1:19" ht="16.5">
      <c r="A55" s="48" t="s">
        <v>179</v>
      </c>
      <c r="B55" s="1" t="s">
        <v>180</v>
      </c>
      <c r="C55" s="1" t="s">
        <v>88</v>
      </c>
      <c r="D55" s="49" t="str">
        <f>IF(AND(D$8&gt;=INDEX('작업 관리'!$E$9:$E$61,MATCH($A55,'작업 관리'!$A$9:$A$61,0)),D$8&lt;=INDEX('작업 관리'!$F$9:$F$61,MATCH($A55,'작업 관리'!$A$9:$A$61,0))),1,"")</f>
        <v/>
      </c>
      <c r="E55" s="49" t="str">
        <f>IF(AND(E$8&gt;=INDEX('작업 관리'!$E$9:$E$61,MATCH($A55,'작업 관리'!$A$9:$A$61,0)),E$8&lt;=INDEX('작업 관리'!$F$9:$F$61,MATCH($A55,'작업 관리'!$A$9:$A$61,0))),1,"")</f>
        <v/>
      </c>
      <c r="F55" s="49" t="str">
        <f>IF(AND(F$8&gt;=INDEX('작업 관리'!$E$9:$E$61,MATCH($A55,'작업 관리'!$A$9:$A$61,0)),F$8&lt;=INDEX('작업 관리'!$F$9:$F$61,MATCH($A55,'작업 관리'!$A$9:$A$61,0))),1,"")</f>
        <v/>
      </c>
      <c r="G55" s="50" t="str">
        <f>IF(AND(G$8&gt;=INDEX('작업 관리'!$E$9:$E$61,MATCH($A55,'작업 관리'!$A$9:$A$61,0)),G$8&lt;=INDEX('작업 관리'!$F$9:$F$61,MATCH($A55,'작업 관리'!$A$9:$A$61,0))),1,"")</f>
        <v/>
      </c>
      <c r="H55" s="50" t="str">
        <f>IF(AND(H$8&gt;=INDEX('작업 관리'!$E$9:$E$61,MATCH($A55,'작업 관리'!$A$9:$A$61,0)),H$8&lt;=INDEX('작업 관리'!$F$9:$F$61,MATCH($A55,'작업 관리'!$A$9:$A$61,0))),1,"")</f>
        <v/>
      </c>
      <c r="I55" s="49" t="str">
        <f>IF(AND(I$8&gt;=INDEX('작업 관리'!$E$9:$E$61,MATCH($A55,'작업 관리'!$A$9:$A$61,0)),I$8&lt;=INDEX('작업 관리'!$F$9:$F$61,MATCH($A55,'작업 관리'!$A$9:$A$61,0))),1,"")</f>
        <v/>
      </c>
      <c r="J55" s="49" t="str">
        <f>IF(AND(J$8&gt;=INDEX('작업 관리'!$E$9:$E$61,MATCH($A55,'작업 관리'!$A$9:$A$61,0)),J$8&lt;=INDEX('작업 관리'!$F$9:$F$61,MATCH($A55,'작업 관리'!$A$9:$A$61,0))),1,"")</f>
        <v/>
      </c>
      <c r="K55" s="49" t="str">
        <f>IF(AND(K$8&gt;=INDEX('작업 관리'!$E$9:$E$61,MATCH($A55,'작업 관리'!$A$9:$A$61,0)),K$8&lt;=INDEX('작업 관리'!$F$9:$F$61,MATCH($A55,'작업 관리'!$A$9:$A$61,0))),1,"")</f>
        <v/>
      </c>
      <c r="L55" s="49" t="str">
        <f>IF(AND(L$8&gt;=INDEX('작업 관리'!$E$9:$E$61,MATCH($A55,'작업 관리'!$A$9:$A$61,0)),L$8&lt;=INDEX('작업 관리'!$F$9:$F$61,MATCH($A55,'작업 관리'!$A$9:$A$61,0))),1,"")</f>
        <v/>
      </c>
      <c r="M55" s="49" t="str">
        <f>IF(AND(M$8&gt;=INDEX('작업 관리'!$E$9:$E$61,MATCH($A55,'작업 관리'!$A$9:$A$61,0)),M$8&lt;=INDEX('작업 관리'!$F$9:$F$61,MATCH($A55,'작업 관리'!$A$9:$A$61,0))),1,"")</f>
        <v/>
      </c>
      <c r="N55" s="50" t="str">
        <f>IF(AND(N$8&gt;=INDEX('작업 관리'!$E$9:$E$61,MATCH($A55,'작업 관리'!$A$9:$A$61,0)),N$8&lt;=INDEX('작업 관리'!$F$9:$F$61,MATCH($A55,'작업 관리'!$A$9:$A$61,0))),1,"")</f>
        <v/>
      </c>
      <c r="O55" s="50" t="str">
        <f>IF(AND(O$8&gt;=INDEX('작업 관리'!$E$9:$E$61,MATCH($A55,'작업 관리'!$A$9:$A$61,0)),O$8&lt;=INDEX('작업 관리'!$F$9:$F$61,MATCH($A55,'작업 관리'!$A$9:$A$61,0))),1,"")</f>
        <v/>
      </c>
      <c r="P55" s="49" t="str">
        <f>IF(AND(P$8&gt;=INDEX('작업 관리'!$E$9:$E$61,MATCH($A55,'작업 관리'!$A$9:$A$61,0)),P$8&lt;=INDEX('작업 관리'!$F$9:$F$61,MATCH($A55,'작업 관리'!$A$9:$A$61,0))),1,"")</f>
        <v/>
      </c>
      <c r="Q55" s="49">
        <f>IF(AND(Q$8&gt;=INDEX('작업 관리'!$E$9:$E$61,MATCH($A55,'작업 관리'!$A$9:$A$61,0)),Q$8&lt;=INDEX('작업 관리'!$F$9:$F$61,MATCH($A55,'작업 관리'!$A$9:$A$61,0))),1,"")</f>
        <v>1</v>
      </c>
      <c r="R55" s="49" t="str">
        <f>IF(AND(R$8&gt;=INDEX('작업 관리'!$E$9:$E$61,MATCH($A55,'작업 관리'!$A$9:$A$61,0)),R$8&lt;=INDEX('작업 관리'!$F$9:$F$61,MATCH($A55,'작업 관리'!$A$9:$A$61,0))),1,"")</f>
        <v/>
      </c>
      <c r="S55" s="49" t="str">
        <f>IF(AND(S$8&gt;=INDEX('작업 관리'!$E$9:$E$61,MATCH($A55,'작업 관리'!$A$9:$A$61,0)),S$8&lt;=INDEX('작업 관리'!$F$9:$F$61,MATCH($A55,'작업 관리'!$A$9:$A$61,0))),1,"")</f>
        <v/>
      </c>
    </row>
    <row r="56" spans="1:19" ht="16.5">
      <c r="A56" s="39" t="s">
        <v>181</v>
      </c>
      <c r="B56" s="15" t="s">
        <v>182</v>
      </c>
      <c r="C56" s="15" t="s">
        <v>91</v>
      </c>
      <c r="D56" s="51" t="str">
        <f>IF(AND(D$8&gt;=INDEX('작업 관리'!$E$9:$E$61,MATCH($A56,'작업 관리'!$A$9:$A$61,0)),D$8&lt;=INDEX('작업 관리'!$F$9:$F$61,MATCH($A56,'작업 관리'!$A$9:$A$61,0))),1,"")</f>
        <v/>
      </c>
      <c r="E56" s="51" t="str">
        <f>IF(AND(E$8&gt;=INDEX('작업 관리'!$E$9:$E$61,MATCH($A56,'작업 관리'!$A$9:$A$61,0)),E$8&lt;=INDEX('작업 관리'!$F$9:$F$61,MATCH($A56,'작업 관리'!$A$9:$A$61,0))),1,"")</f>
        <v/>
      </c>
      <c r="F56" s="51" t="str">
        <f>IF(AND(F$8&gt;=INDEX('작업 관리'!$E$9:$E$61,MATCH($A56,'작업 관리'!$A$9:$A$61,0)),F$8&lt;=INDEX('작업 관리'!$F$9:$F$61,MATCH($A56,'작업 관리'!$A$9:$A$61,0))),1,"")</f>
        <v/>
      </c>
      <c r="G56" s="50" t="str">
        <f>IF(AND(G$8&gt;=INDEX('작업 관리'!$E$9:$E$61,MATCH($A56,'작업 관리'!$A$9:$A$61,0)),G$8&lt;=INDEX('작업 관리'!$F$9:$F$61,MATCH($A56,'작업 관리'!$A$9:$A$61,0))),1,"")</f>
        <v/>
      </c>
      <c r="H56" s="50" t="str">
        <f>IF(AND(H$8&gt;=INDEX('작업 관리'!$E$9:$E$61,MATCH($A56,'작업 관리'!$A$9:$A$61,0)),H$8&lt;=INDEX('작업 관리'!$F$9:$F$61,MATCH($A56,'작업 관리'!$A$9:$A$61,0))),1,"")</f>
        <v/>
      </c>
      <c r="I56" s="51" t="str">
        <f>IF(AND(I$8&gt;=INDEX('작업 관리'!$E$9:$E$61,MATCH($A56,'작업 관리'!$A$9:$A$61,0)),I$8&lt;=INDEX('작업 관리'!$F$9:$F$61,MATCH($A56,'작업 관리'!$A$9:$A$61,0))),1,"")</f>
        <v/>
      </c>
      <c r="J56" s="51" t="str">
        <f>IF(AND(J$8&gt;=INDEX('작업 관리'!$E$9:$E$61,MATCH($A56,'작업 관리'!$A$9:$A$61,0)),J$8&lt;=INDEX('작업 관리'!$F$9:$F$61,MATCH($A56,'작업 관리'!$A$9:$A$61,0))),1,"")</f>
        <v/>
      </c>
      <c r="K56" s="51" t="str">
        <f>IF(AND(K$8&gt;=INDEX('작업 관리'!$E$9:$E$61,MATCH($A56,'작업 관리'!$A$9:$A$61,0)),K$8&lt;=INDEX('작업 관리'!$F$9:$F$61,MATCH($A56,'작업 관리'!$A$9:$A$61,0))),1,"")</f>
        <v/>
      </c>
      <c r="L56" s="51" t="str">
        <f>IF(AND(L$8&gt;=INDEX('작업 관리'!$E$9:$E$61,MATCH($A56,'작업 관리'!$A$9:$A$61,0)),L$8&lt;=INDEX('작업 관리'!$F$9:$F$61,MATCH($A56,'작업 관리'!$A$9:$A$61,0))),1,"")</f>
        <v/>
      </c>
      <c r="M56" s="51" t="str">
        <f>IF(AND(M$8&gt;=INDEX('작업 관리'!$E$9:$E$61,MATCH($A56,'작업 관리'!$A$9:$A$61,0)),M$8&lt;=INDEX('작업 관리'!$F$9:$F$61,MATCH($A56,'작업 관리'!$A$9:$A$61,0))),1,"")</f>
        <v/>
      </c>
      <c r="N56" s="50" t="str">
        <f>IF(AND(N$8&gt;=INDEX('작업 관리'!$E$9:$E$61,MATCH($A56,'작업 관리'!$A$9:$A$61,0)),N$8&lt;=INDEX('작업 관리'!$F$9:$F$61,MATCH($A56,'작업 관리'!$A$9:$A$61,0))),1,"")</f>
        <v/>
      </c>
      <c r="O56" s="50" t="str">
        <f>IF(AND(O$8&gt;=INDEX('작업 관리'!$E$9:$E$61,MATCH($A56,'작업 관리'!$A$9:$A$61,0)),O$8&lt;=INDEX('작업 관리'!$F$9:$F$61,MATCH($A56,'작업 관리'!$A$9:$A$61,0))),1,"")</f>
        <v/>
      </c>
      <c r="P56" s="51" t="str">
        <f>IF(AND(P$8&gt;=INDEX('작업 관리'!$E$9:$E$61,MATCH($A56,'작업 관리'!$A$9:$A$61,0)),P$8&lt;=INDEX('작업 관리'!$F$9:$F$61,MATCH($A56,'작업 관리'!$A$9:$A$61,0))),1,"")</f>
        <v/>
      </c>
      <c r="Q56" s="51">
        <f>IF(AND(Q$8&gt;=INDEX('작업 관리'!$E$9:$E$61,MATCH($A56,'작업 관리'!$A$9:$A$61,0)),Q$8&lt;=INDEX('작업 관리'!$F$9:$F$61,MATCH($A56,'작업 관리'!$A$9:$A$61,0))),1,"")</f>
        <v>1</v>
      </c>
      <c r="R56" s="51" t="str">
        <f>IF(AND(R$8&gt;=INDEX('작업 관리'!$E$9:$E$61,MATCH($A56,'작업 관리'!$A$9:$A$61,0)),R$8&lt;=INDEX('작업 관리'!$F$9:$F$61,MATCH($A56,'작업 관리'!$A$9:$A$61,0))),1,"")</f>
        <v/>
      </c>
      <c r="S56" s="51" t="str">
        <f>IF(AND(S$8&gt;=INDEX('작업 관리'!$E$9:$E$61,MATCH($A56,'작업 관리'!$A$9:$A$61,0)),S$8&lt;=INDEX('작업 관리'!$F$9:$F$61,MATCH($A56,'작업 관리'!$A$9:$A$61,0))),1,"")</f>
        <v/>
      </c>
    </row>
    <row r="57" spans="1:19" ht="16.5">
      <c r="A57" s="48" t="s">
        <v>183</v>
      </c>
      <c r="B57" s="1" t="s">
        <v>184</v>
      </c>
      <c r="C57" s="1" t="s">
        <v>122</v>
      </c>
      <c r="D57" s="49" t="str">
        <f>IF(AND(D$8&gt;=INDEX('작업 관리'!$E$9:$E$61,MATCH($A57,'작업 관리'!$A$9:$A$61,0)),D$8&lt;=INDEX('작업 관리'!$F$9:$F$61,MATCH($A57,'작업 관리'!$A$9:$A$61,0))),1,"")</f>
        <v/>
      </c>
      <c r="E57" s="49" t="str">
        <f>IF(AND(E$8&gt;=INDEX('작업 관리'!$E$9:$E$61,MATCH($A57,'작업 관리'!$A$9:$A$61,0)),E$8&lt;=INDEX('작업 관리'!$F$9:$F$61,MATCH($A57,'작업 관리'!$A$9:$A$61,0))),1,"")</f>
        <v/>
      </c>
      <c r="F57" s="49" t="str">
        <f>IF(AND(F$8&gt;=INDEX('작업 관리'!$E$9:$E$61,MATCH($A57,'작업 관리'!$A$9:$A$61,0)),F$8&lt;=INDEX('작업 관리'!$F$9:$F$61,MATCH($A57,'작업 관리'!$A$9:$A$61,0))),1,"")</f>
        <v/>
      </c>
      <c r="G57" s="50" t="str">
        <f>IF(AND(G$8&gt;=INDEX('작업 관리'!$E$9:$E$61,MATCH($A57,'작업 관리'!$A$9:$A$61,0)),G$8&lt;=INDEX('작업 관리'!$F$9:$F$61,MATCH($A57,'작업 관리'!$A$9:$A$61,0))),1,"")</f>
        <v/>
      </c>
      <c r="H57" s="50" t="str">
        <f>IF(AND(H$8&gt;=INDEX('작업 관리'!$E$9:$E$61,MATCH($A57,'작업 관리'!$A$9:$A$61,0)),H$8&lt;=INDEX('작업 관리'!$F$9:$F$61,MATCH($A57,'작업 관리'!$A$9:$A$61,0))),1,"")</f>
        <v/>
      </c>
      <c r="I57" s="49" t="str">
        <f>IF(AND(I$8&gt;=INDEX('작업 관리'!$E$9:$E$61,MATCH($A57,'작업 관리'!$A$9:$A$61,0)),I$8&lt;=INDEX('작업 관리'!$F$9:$F$61,MATCH($A57,'작업 관리'!$A$9:$A$61,0))),1,"")</f>
        <v/>
      </c>
      <c r="J57" s="49" t="str">
        <f>IF(AND(J$8&gt;=INDEX('작업 관리'!$E$9:$E$61,MATCH($A57,'작업 관리'!$A$9:$A$61,0)),J$8&lt;=INDEX('작업 관리'!$F$9:$F$61,MATCH($A57,'작업 관리'!$A$9:$A$61,0))),1,"")</f>
        <v/>
      </c>
      <c r="K57" s="49" t="str">
        <f>IF(AND(K$8&gt;=INDEX('작업 관리'!$E$9:$E$61,MATCH($A57,'작업 관리'!$A$9:$A$61,0)),K$8&lt;=INDEX('작업 관리'!$F$9:$F$61,MATCH($A57,'작업 관리'!$A$9:$A$61,0))),1,"")</f>
        <v/>
      </c>
      <c r="L57" s="49" t="str">
        <f>IF(AND(L$8&gt;=INDEX('작업 관리'!$E$9:$E$61,MATCH($A57,'작업 관리'!$A$9:$A$61,0)),L$8&lt;=INDEX('작업 관리'!$F$9:$F$61,MATCH($A57,'작업 관리'!$A$9:$A$61,0))),1,"")</f>
        <v/>
      </c>
      <c r="M57" s="49" t="str">
        <f>IF(AND(M$8&gt;=INDEX('작업 관리'!$E$9:$E$61,MATCH($A57,'작업 관리'!$A$9:$A$61,0)),M$8&lt;=INDEX('작업 관리'!$F$9:$F$61,MATCH($A57,'작업 관리'!$A$9:$A$61,0))),1,"")</f>
        <v/>
      </c>
      <c r="N57" s="50" t="str">
        <f>IF(AND(N$8&gt;=INDEX('작업 관리'!$E$9:$E$61,MATCH($A57,'작업 관리'!$A$9:$A$61,0)),N$8&lt;=INDEX('작업 관리'!$F$9:$F$61,MATCH($A57,'작업 관리'!$A$9:$A$61,0))),1,"")</f>
        <v/>
      </c>
      <c r="O57" s="50" t="str">
        <f>IF(AND(O$8&gt;=INDEX('작업 관리'!$E$9:$E$61,MATCH($A57,'작업 관리'!$A$9:$A$61,0)),O$8&lt;=INDEX('작업 관리'!$F$9:$F$61,MATCH($A57,'작업 관리'!$A$9:$A$61,0))),1,"")</f>
        <v/>
      </c>
      <c r="P57" s="49" t="str">
        <f>IF(AND(P$8&gt;=INDEX('작업 관리'!$E$9:$E$61,MATCH($A57,'작업 관리'!$A$9:$A$61,0)),P$8&lt;=INDEX('작업 관리'!$F$9:$F$61,MATCH($A57,'작업 관리'!$A$9:$A$61,0))),1,"")</f>
        <v/>
      </c>
      <c r="Q57" s="49" t="str">
        <f>IF(AND(Q$8&gt;=INDEX('작업 관리'!$E$9:$E$61,MATCH($A57,'작업 관리'!$A$9:$A$61,0)),Q$8&lt;=INDEX('작업 관리'!$F$9:$F$61,MATCH($A57,'작업 관리'!$A$9:$A$61,0))),1,"")</f>
        <v/>
      </c>
      <c r="R57" s="49">
        <f>IF(AND(R$8&gt;=INDEX('작업 관리'!$E$9:$E$61,MATCH($A57,'작업 관리'!$A$9:$A$61,0)),R$8&lt;=INDEX('작업 관리'!$F$9:$F$61,MATCH($A57,'작업 관리'!$A$9:$A$61,0))),1,"")</f>
        <v>1</v>
      </c>
      <c r="S57" s="49" t="str">
        <f>IF(AND(S$8&gt;=INDEX('작업 관리'!$E$9:$E$61,MATCH($A57,'작업 관리'!$A$9:$A$61,0)),S$8&lt;=INDEX('작업 관리'!$F$9:$F$61,MATCH($A57,'작업 관리'!$A$9:$A$61,0))),1,"")</f>
        <v/>
      </c>
    </row>
    <row r="58" spans="1:19" ht="16.5">
      <c r="A58" s="39" t="s">
        <v>185</v>
      </c>
      <c r="B58" s="15" t="s">
        <v>186</v>
      </c>
      <c r="C58" s="15" t="s">
        <v>8</v>
      </c>
      <c r="D58" s="51" t="str">
        <f>IF(AND(D$8&gt;=INDEX('작업 관리'!$E$9:$E$61,MATCH($A58,'작업 관리'!$A$9:$A$61,0)),D$8&lt;=INDEX('작업 관리'!$F$9:$F$61,MATCH($A58,'작업 관리'!$A$9:$A$61,0))),1,"")</f>
        <v/>
      </c>
      <c r="E58" s="51" t="str">
        <f>IF(AND(E$8&gt;=INDEX('작업 관리'!$E$9:$E$61,MATCH($A58,'작업 관리'!$A$9:$A$61,0)),E$8&lt;=INDEX('작업 관리'!$F$9:$F$61,MATCH($A58,'작업 관리'!$A$9:$A$61,0))),1,"")</f>
        <v/>
      </c>
      <c r="F58" s="51" t="str">
        <f>IF(AND(F$8&gt;=INDEX('작업 관리'!$E$9:$E$61,MATCH($A58,'작업 관리'!$A$9:$A$61,0)),F$8&lt;=INDEX('작업 관리'!$F$9:$F$61,MATCH($A58,'작업 관리'!$A$9:$A$61,0))),1,"")</f>
        <v/>
      </c>
      <c r="G58" s="50" t="str">
        <f>IF(AND(G$8&gt;=INDEX('작업 관리'!$E$9:$E$61,MATCH($A58,'작업 관리'!$A$9:$A$61,0)),G$8&lt;=INDEX('작업 관리'!$F$9:$F$61,MATCH($A58,'작업 관리'!$A$9:$A$61,0))),1,"")</f>
        <v/>
      </c>
      <c r="H58" s="50" t="str">
        <f>IF(AND(H$8&gt;=INDEX('작업 관리'!$E$9:$E$61,MATCH($A58,'작업 관리'!$A$9:$A$61,0)),H$8&lt;=INDEX('작업 관리'!$F$9:$F$61,MATCH($A58,'작업 관리'!$A$9:$A$61,0))),1,"")</f>
        <v/>
      </c>
      <c r="I58" s="51" t="str">
        <f>IF(AND(I$8&gt;=INDEX('작업 관리'!$E$9:$E$61,MATCH($A58,'작업 관리'!$A$9:$A$61,0)),I$8&lt;=INDEX('작업 관리'!$F$9:$F$61,MATCH($A58,'작업 관리'!$A$9:$A$61,0))),1,"")</f>
        <v/>
      </c>
      <c r="J58" s="51" t="str">
        <f>IF(AND(J$8&gt;=INDEX('작업 관리'!$E$9:$E$61,MATCH($A58,'작업 관리'!$A$9:$A$61,0)),J$8&lt;=INDEX('작업 관리'!$F$9:$F$61,MATCH($A58,'작업 관리'!$A$9:$A$61,0))),1,"")</f>
        <v/>
      </c>
      <c r="K58" s="51" t="str">
        <f>IF(AND(K$8&gt;=INDEX('작업 관리'!$E$9:$E$61,MATCH($A58,'작업 관리'!$A$9:$A$61,0)),K$8&lt;=INDEX('작업 관리'!$F$9:$F$61,MATCH($A58,'작업 관리'!$A$9:$A$61,0))),1,"")</f>
        <v/>
      </c>
      <c r="L58" s="51" t="str">
        <f>IF(AND(L$8&gt;=INDEX('작업 관리'!$E$9:$E$61,MATCH($A58,'작업 관리'!$A$9:$A$61,0)),L$8&lt;=INDEX('작업 관리'!$F$9:$F$61,MATCH($A58,'작업 관리'!$A$9:$A$61,0))),1,"")</f>
        <v/>
      </c>
      <c r="M58" s="51" t="str">
        <f>IF(AND(M$8&gt;=INDEX('작업 관리'!$E$9:$E$61,MATCH($A58,'작업 관리'!$A$9:$A$61,0)),M$8&lt;=INDEX('작업 관리'!$F$9:$F$61,MATCH($A58,'작업 관리'!$A$9:$A$61,0))),1,"")</f>
        <v/>
      </c>
      <c r="N58" s="50" t="str">
        <f>IF(AND(N$8&gt;=INDEX('작업 관리'!$E$9:$E$61,MATCH($A58,'작업 관리'!$A$9:$A$61,0)),N$8&lt;=INDEX('작업 관리'!$F$9:$F$61,MATCH($A58,'작업 관리'!$A$9:$A$61,0))),1,"")</f>
        <v/>
      </c>
      <c r="O58" s="50" t="str">
        <f>IF(AND(O$8&gt;=INDEX('작업 관리'!$E$9:$E$61,MATCH($A58,'작업 관리'!$A$9:$A$61,0)),O$8&lt;=INDEX('작업 관리'!$F$9:$F$61,MATCH($A58,'작업 관리'!$A$9:$A$61,0))),1,"")</f>
        <v/>
      </c>
      <c r="P58" s="51" t="str">
        <f>IF(AND(P$8&gt;=INDEX('작업 관리'!$E$9:$E$61,MATCH($A58,'작업 관리'!$A$9:$A$61,0)),P$8&lt;=INDEX('작업 관리'!$F$9:$F$61,MATCH($A58,'작업 관리'!$A$9:$A$61,0))),1,"")</f>
        <v/>
      </c>
      <c r="Q58" s="51" t="str">
        <f>IF(AND(Q$8&gt;=INDEX('작업 관리'!$E$9:$E$61,MATCH($A58,'작업 관리'!$A$9:$A$61,0)),Q$8&lt;=INDEX('작업 관리'!$F$9:$F$61,MATCH($A58,'작업 관리'!$A$9:$A$61,0))),1,"")</f>
        <v/>
      </c>
      <c r="R58" s="51">
        <f>IF(AND(R$8&gt;=INDEX('작업 관리'!$E$9:$E$61,MATCH($A58,'작업 관리'!$A$9:$A$61,0)),R$8&lt;=INDEX('작업 관리'!$F$9:$F$61,MATCH($A58,'작업 관리'!$A$9:$A$61,0))),1,"")</f>
        <v>1</v>
      </c>
      <c r="S58" s="51" t="str">
        <f>IF(AND(S$8&gt;=INDEX('작업 관리'!$E$9:$E$61,MATCH($A58,'작업 관리'!$A$9:$A$61,0)),S$8&lt;=INDEX('작업 관리'!$F$9:$F$61,MATCH($A58,'작업 관리'!$A$9:$A$61,0))),1,"")</f>
        <v/>
      </c>
    </row>
    <row r="59" spans="1:19" ht="16.5">
      <c r="A59" s="48" t="s">
        <v>187</v>
      </c>
      <c r="B59" s="1" t="s">
        <v>188</v>
      </c>
      <c r="C59" s="1" t="s">
        <v>91</v>
      </c>
      <c r="D59" s="49" t="str">
        <f>IF(AND(D$8&gt;=INDEX('작업 관리'!$E$9:$E$61,MATCH($A59,'작업 관리'!$A$9:$A$61,0)),D$8&lt;=INDEX('작업 관리'!$F$9:$F$61,MATCH($A59,'작업 관리'!$A$9:$A$61,0))),1,"")</f>
        <v/>
      </c>
      <c r="E59" s="49" t="str">
        <f>IF(AND(E$8&gt;=INDEX('작업 관리'!$E$9:$E$61,MATCH($A59,'작업 관리'!$A$9:$A$61,0)),E$8&lt;=INDEX('작업 관리'!$F$9:$F$61,MATCH($A59,'작업 관리'!$A$9:$A$61,0))),1,"")</f>
        <v/>
      </c>
      <c r="F59" s="49" t="str">
        <f>IF(AND(F$8&gt;=INDEX('작업 관리'!$E$9:$E$61,MATCH($A59,'작업 관리'!$A$9:$A$61,0)),F$8&lt;=INDEX('작업 관리'!$F$9:$F$61,MATCH($A59,'작업 관리'!$A$9:$A$61,0))),1,"")</f>
        <v/>
      </c>
      <c r="G59" s="50" t="str">
        <f>IF(AND(G$8&gt;=INDEX('작업 관리'!$E$9:$E$61,MATCH($A59,'작업 관리'!$A$9:$A$61,0)),G$8&lt;=INDEX('작업 관리'!$F$9:$F$61,MATCH($A59,'작업 관리'!$A$9:$A$61,0))),1,"")</f>
        <v/>
      </c>
      <c r="H59" s="50" t="str">
        <f>IF(AND(H$8&gt;=INDEX('작업 관리'!$E$9:$E$61,MATCH($A59,'작업 관리'!$A$9:$A$61,0)),H$8&lt;=INDEX('작업 관리'!$F$9:$F$61,MATCH($A59,'작업 관리'!$A$9:$A$61,0))),1,"")</f>
        <v/>
      </c>
      <c r="I59" s="49" t="str">
        <f>IF(AND(I$8&gt;=INDEX('작업 관리'!$E$9:$E$61,MATCH($A59,'작업 관리'!$A$9:$A$61,0)),I$8&lt;=INDEX('작업 관리'!$F$9:$F$61,MATCH($A59,'작업 관리'!$A$9:$A$61,0))),1,"")</f>
        <v/>
      </c>
      <c r="J59" s="49" t="str">
        <f>IF(AND(J$8&gt;=INDEX('작업 관리'!$E$9:$E$61,MATCH($A59,'작업 관리'!$A$9:$A$61,0)),J$8&lt;=INDEX('작업 관리'!$F$9:$F$61,MATCH($A59,'작업 관리'!$A$9:$A$61,0))),1,"")</f>
        <v/>
      </c>
      <c r="K59" s="49" t="str">
        <f>IF(AND(K$8&gt;=INDEX('작업 관리'!$E$9:$E$61,MATCH($A59,'작업 관리'!$A$9:$A$61,0)),K$8&lt;=INDEX('작업 관리'!$F$9:$F$61,MATCH($A59,'작업 관리'!$A$9:$A$61,0))),1,"")</f>
        <v/>
      </c>
      <c r="L59" s="49" t="str">
        <f>IF(AND(L$8&gt;=INDEX('작업 관리'!$E$9:$E$61,MATCH($A59,'작업 관리'!$A$9:$A$61,0)),L$8&lt;=INDEX('작업 관리'!$F$9:$F$61,MATCH($A59,'작업 관리'!$A$9:$A$61,0))),1,"")</f>
        <v/>
      </c>
      <c r="M59" s="49" t="str">
        <f>IF(AND(M$8&gt;=INDEX('작업 관리'!$E$9:$E$61,MATCH($A59,'작업 관리'!$A$9:$A$61,0)),M$8&lt;=INDEX('작업 관리'!$F$9:$F$61,MATCH($A59,'작업 관리'!$A$9:$A$61,0))),1,"")</f>
        <v/>
      </c>
      <c r="N59" s="50" t="str">
        <f>IF(AND(N$8&gt;=INDEX('작업 관리'!$E$9:$E$61,MATCH($A59,'작업 관리'!$A$9:$A$61,0)),N$8&lt;=INDEX('작업 관리'!$F$9:$F$61,MATCH($A59,'작업 관리'!$A$9:$A$61,0))),1,"")</f>
        <v/>
      </c>
      <c r="O59" s="50" t="str">
        <f>IF(AND(O$8&gt;=INDEX('작업 관리'!$E$9:$E$61,MATCH($A59,'작업 관리'!$A$9:$A$61,0)),O$8&lt;=INDEX('작업 관리'!$F$9:$F$61,MATCH($A59,'작업 관리'!$A$9:$A$61,0))),1,"")</f>
        <v/>
      </c>
      <c r="P59" s="49" t="str">
        <f>IF(AND(P$8&gt;=INDEX('작업 관리'!$E$9:$E$61,MATCH($A59,'작업 관리'!$A$9:$A$61,0)),P$8&lt;=INDEX('작업 관리'!$F$9:$F$61,MATCH($A59,'작업 관리'!$A$9:$A$61,0))),1,"")</f>
        <v/>
      </c>
      <c r="Q59" s="49" t="str">
        <f>IF(AND(Q$8&gt;=INDEX('작업 관리'!$E$9:$E$61,MATCH($A59,'작업 관리'!$A$9:$A$61,0)),Q$8&lt;=INDEX('작업 관리'!$F$9:$F$61,MATCH($A59,'작업 관리'!$A$9:$A$61,0))),1,"")</f>
        <v/>
      </c>
      <c r="R59" s="49">
        <f>IF(AND(R$8&gt;=INDEX('작업 관리'!$E$9:$E$61,MATCH($A59,'작업 관리'!$A$9:$A$61,0)),R$8&lt;=INDEX('작업 관리'!$F$9:$F$61,MATCH($A59,'작업 관리'!$A$9:$A$61,0))),1,"")</f>
        <v>1</v>
      </c>
      <c r="S59" s="49" t="str">
        <f>IF(AND(S$8&gt;=INDEX('작업 관리'!$E$9:$E$61,MATCH($A59,'작업 관리'!$A$9:$A$61,0)),S$8&lt;=INDEX('작업 관리'!$F$9:$F$61,MATCH($A59,'작업 관리'!$A$9:$A$61,0))),1,"")</f>
        <v/>
      </c>
    </row>
    <row r="60" spans="1:19" ht="16.5">
      <c r="A60" s="39" t="s">
        <v>189</v>
      </c>
      <c r="B60" s="15" t="s">
        <v>190</v>
      </c>
      <c r="C60" s="15" t="s">
        <v>8</v>
      </c>
      <c r="D60" s="51" t="str">
        <f>IF(AND(D$8&gt;=INDEX('작업 관리'!$E$9:$E$61,MATCH($A60,'작업 관리'!$A$9:$A$61,0)),D$8&lt;=INDEX('작업 관리'!$F$9:$F$61,MATCH($A60,'작업 관리'!$A$9:$A$61,0))),1,"")</f>
        <v/>
      </c>
      <c r="E60" s="51" t="str">
        <f>IF(AND(E$8&gt;=INDEX('작업 관리'!$E$9:$E$61,MATCH($A60,'작업 관리'!$A$9:$A$61,0)),E$8&lt;=INDEX('작업 관리'!$F$9:$F$61,MATCH($A60,'작업 관리'!$A$9:$A$61,0))),1,"")</f>
        <v/>
      </c>
      <c r="F60" s="51" t="str">
        <f>IF(AND(F$8&gt;=INDEX('작업 관리'!$E$9:$E$61,MATCH($A60,'작업 관리'!$A$9:$A$61,0)),F$8&lt;=INDEX('작업 관리'!$F$9:$F$61,MATCH($A60,'작업 관리'!$A$9:$A$61,0))),1,"")</f>
        <v/>
      </c>
      <c r="G60" s="50" t="str">
        <f>IF(AND(G$8&gt;=INDEX('작업 관리'!$E$9:$E$61,MATCH($A60,'작업 관리'!$A$9:$A$61,0)),G$8&lt;=INDEX('작업 관리'!$F$9:$F$61,MATCH($A60,'작업 관리'!$A$9:$A$61,0))),1,"")</f>
        <v/>
      </c>
      <c r="H60" s="50" t="str">
        <f>IF(AND(H$8&gt;=INDEX('작업 관리'!$E$9:$E$61,MATCH($A60,'작업 관리'!$A$9:$A$61,0)),H$8&lt;=INDEX('작업 관리'!$F$9:$F$61,MATCH($A60,'작업 관리'!$A$9:$A$61,0))),1,"")</f>
        <v/>
      </c>
      <c r="I60" s="51" t="str">
        <f>IF(AND(I$8&gt;=INDEX('작업 관리'!$E$9:$E$61,MATCH($A60,'작업 관리'!$A$9:$A$61,0)),I$8&lt;=INDEX('작업 관리'!$F$9:$F$61,MATCH($A60,'작업 관리'!$A$9:$A$61,0))),1,"")</f>
        <v/>
      </c>
      <c r="J60" s="51" t="str">
        <f>IF(AND(J$8&gt;=INDEX('작업 관리'!$E$9:$E$61,MATCH($A60,'작업 관리'!$A$9:$A$61,0)),J$8&lt;=INDEX('작업 관리'!$F$9:$F$61,MATCH($A60,'작업 관리'!$A$9:$A$61,0))),1,"")</f>
        <v/>
      </c>
      <c r="K60" s="51" t="str">
        <f>IF(AND(K$8&gt;=INDEX('작업 관리'!$E$9:$E$61,MATCH($A60,'작업 관리'!$A$9:$A$61,0)),K$8&lt;=INDEX('작업 관리'!$F$9:$F$61,MATCH($A60,'작업 관리'!$A$9:$A$61,0))),1,"")</f>
        <v/>
      </c>
      <c r="L60" s="51" t="str">
        <f>IF(AND(L$8&gt;=INDEX('작업 관리'!$E$9:$E$61,MATCH($A60,'작업 관리'!$A$9:$A$61,0)),L$8&lt;=INDEX('작업 관리'!$F$9:$F$61,MATCH($A60,'작업 관리'!$A$9:$A$61,0))),1,"")</f>
        <v/>
      </c>
      <c r="M60" s="51" t="str">
        <f>IF(AND(M$8&gt;=INDEX('작업 관리'!$E$9:$E$61,MATCH($A60,'작업 관리'!$A$9:$A$61,0)),M$8&lt;=INDEX('작업 관리'!$F$9:$F$61,MATCH($A60,'작업 관리'!$A$9:$A$61,0))),1,"")</f>
        <v/>
      </c>
      <c r="N60" s="50" t="str">
        <f>IF(AND(N$8&gt;=INDEX('작업 관리'!$E$9:$E$61,MATCH($A60,'작업 관리'!$A$9:$A$61,0)),N$8&lt;=INDEX('작업 관리'!$F$9:$F$61,MATCH($A60,'작업 관리'!$A$9:$A$61,0))),1,"")</f>
        <v/>
      </c>
      <c r="O60" s="50" t="str">
        <f>IF(AND(O$8&gt;=INDEX('작업 관리'!$E$9:$E$61,MATCH($A60,'작업 관리'!$A$9:$A$61,0)),O$8&lt;=INDEX('작업 관리'!$F$9:$F$61,MATCH($A60,'작업 관리'!$A$9:$A$61,0))),1,"")</f>
        <v/>
      </c>
      <c r="P60" s="51" t="str">
        <f>IF(AND(P$8&gt;=INDEX('작업 관리'!$E$9:$E$61,MATCH($A60,'작업 관리'!$A$9:$A$61,0)),P$8&lt;=INDEX('작업 관리'!$F$9:$F$61,MATCH($A60,'작업 관리'!$A$9:$A$61,0))),1,"")</f>
        <v/>
      </c>
      <c r="Q60" s="51" t="str">
        <f>IF(AND(Q$8&gt;=INDEX('작업 관리'!$E$9:$E$61,MATCH($A60,'작업 관리'!$A$9:$A$61,0)),Q$8&lt;=INDEX('작업 관리'!$F$9:$F$61,MATCH($A60,'작업 관리'!$A$9:$A$61,0))),1,"")</f>
        <v/>
      </c>
      <c r="R60" s="51" t="str">
        <f>IF(AND(R$8&gt;=INDEX('작업 관리'!$E$9:$E$61,MATCH($A60,'작업 관리'!$A$9:$A$61,0)),R$8&lt;=INDEX('작업 관리'!$F$9:$F$61,MATCH($A60,'작업 관리'!$A$9:$A$61,0))),1,"")</f>
        <v/>
      </c>
      <c r="S60" s="51">
        <f>IF(AND(S$8&gt;=INDEX('작업 관리'!$E$9:$E$61,MATCH($A60,'작업 관리'!$A$9:$A$61,0)),S$8&lt;=INDEX('작업 관리'!$F$9:$F$61,MATCH($A60,'작업 관리'!$A$9:$A$61,0))),1,"")</f>
        <v>1</v>
      </c>
    </row>
    <row r="61" spans="1:19" ht="16.5">
      <c r="A61" s="48" t="s">
        <v>191</v>
      </c>
      <c r="B61" s="1" t="s">
        <v>192</v>
      </c>
      <c r="C61" s="1" t="s">
        <v>91</v>
      </c>
      <c r="D61" s="49" t="str">
        <f>IF(AND(D$8&gt;=INDEX('작업 관리'!$E$9:$E$61,MATCH($A61,'작업 관리'!$A$9:$A$61,0)),D$8&lt;=INDEX('작업 관리'!$F$9:$F$61,MATCH($A61,'작업 관리'!$A$9:$A$61,0))),1,"")</f>
        <v/>
      </c>
      <c r="E61" s="49" t="str">
        <f>IF(AND(E$8&gt;=INDEX('작업 관리'!$E$9:$E$61,MATCH($A61,'작업 관리'!$A$9:$A$61,0)),E$8&lt;=INDEX('작업 관리'!$F$9:$F$61,MATCH($A61,'작업 관리'!$A$9:$A$61,0))),1,"")</f>
        <v/>
      </c>
      <c r="F61" s="49" t="str">
        <f>IF(AND(F$8&gt;=INDEX('작업 관리'!$E$9:$E$61,MATCH($A61,'작업 관리'!$A$9:$A$61,0)),F$8&lt;=INDEX('작업 관리'!$F$9:$F$61,MATCH($A61,'작업 관리'!$A$9:$A$61,0))),1,"")</f>
        <v/>
      </c>
      <c r="G61" s="50" t="str">
        <f>IF(AND(G$8&gt;=INDEX('작업 관리'!$E$9:$E$61,MATCH($A61,'작업 관리'!$A$9:$A$61,0)),G$8&lt;=INDEX('작업 관리'!$F$9:$F$61,MATCH($A61,'작업 관리'!$A$9:$A$61,0))),1,"")</f>
        <v/>
      </c>
      <c r="H61" s="50" t="str">
        <f>IF(AND(H$8&gt;=INDEX('작업 관리'!$E$9:$E$61,MATCH($A61,'작업 관리'!$A$9:$A$61,0)),H$8&lt;=INDEX('작업 관리'!$F$9:$F$61,MATCH($A61,'작업 관리'!$A$9:$A$61,0))),1,"")</f>
        <v/>
      </c>
      <c r="I61" s="49" t="str">
        <f>IF(AND(I$8&gt;=INDEX('작업 관리'!$E$9:$E$61,MATCH($A61,'작업 관리'!$A$9:$A$61,0)),I$8&lt;=INDEX('작업 관리'!$F$9:$F$61,MATCH($A61,'작업 관리'!$A$9:$A$61,0))),1,"")</f>
        <v/>
      </c>
      <c r="J61" s="49" t="str">
        <f>IF(AND(J$8&gt;=INDEX('작업 관리'!$E$9:$E$61,MATCH($A61,'작업 관리'!$A$9:$A$61,0)),J$8&lt;=INDEX('작업 관리'!$F$9:$F$61,MATCH($A61,'작업 관리'!$A$9:$A$61,0))),1,"")</f>
        <v/>
      </c>
      <c r="K61" s="49" t="str">
        <f>IF(AND(K$8&gt;=INDEX('작업 관리'!$E$9:$E$61,MATCH($A61,'작업 관리'!$A$9:$A$61,0)),K$8&lt;=INDEX('작업 관리'!$F$9:$F$61,MATCH($A61,'작업 관리'!$A$9:$A$61,0))),1,"")</f>
        <v/>
      </c>
      <c r="L61" s="49" t="str">
        <f>IF(AND(L$8&gt;=INDEX('작업 관리'!$E$9:$E$61,MATCH($A61,'작업 관리'!$A$9:$A$61,0)),L$8&lt;=INDEX('작업 관리'!$F$9:$F$61,MATCH($A61,'작업 관리'!$A$9:$A$61,0))),1,"")</f>
        <v/>
      </c>
      <c r="M61" s="49" t="str">
        <f>IF(AND(M$8&gt;=INDEX('작업 관리'!$E$9:$E$61,MATCH($A61,'작업 관리'!$A$9:$A$61,0)),M$8&lt;=INDEX('작업 관리'!$F$9:$F$61,MATCH($A61,'작업 관리'!$A$9:$A$61,0))),1,"")</f>
        <v/>
      </c>
      <c r="N61" s="50" t="str">
        <f>IF(AND(N$8&gt;=INDEX('작업 관리'!$E$9:$E$61,MATCH($A61,'작업 관리'!$A$9:$A$61,0)),N$8&lt;=INDEX('작업 관리'!$F$9:$F$61,MATCH($A61,'작업 관리'!$A$9:$A$61,0))),1,"")</f>
        <v/>
      </c>
      <c r="O61" s="50" t="str">
        <f>IF(AND(O$8&gt;=INDEX('작업 관리'!$E$9:$E$61,MATCH($A61,'작업 관리'!$A$9:$A$61,0)),O$8&lt;=INDEX('작업 관리'!$F$9:$F$61,MATCH($A61,'작업 관리'!$A$9:$A$61,0))),1,"")</f>
        <v/>
      </c>
      <c r="P61" s="49" t="str">
        <f>IF(AND(P$8&gt;=INDEX('작업 관리'!$E$9:$E$61,MATCH($A61,'작업 관리'!$A$9:$A$61,0)),P$8&lt;=INDEX('작업 관리'!$F$9:$F$61,MATCH($A61,'작업 관리'!$A$9:$A$61,0))),1,"")</f>
        <v/>
      </c>
      <c r="Q61" s="49" t="str">
        <f>IF(AND(Q$8&gt;=INDEX('작업 관리'!$E$9:$E$61,MATCH($A61,'작업 관리'!$A$9:$A$61,0)),Q$8&lt;=INDEX('작업 관리'!$F$9:$F$61,MATCH($A61,'작업 관리'!$A$9:$A$61,0))),1,"")</f>
        <v/>
      </c>
      <c r="R61" s="49" t="str">
        <f>IF(AND(R$8&gt;=INDEX('작업 관리'!$E$9:$E$61,MATCH($A61,'작업 관리'!$A$9:$A$61,0)),R$8&lt;=INDEX('작업 관리'!$F$9:$F$61,MATCH($A61,'작업 관리'!$A$9:$A$61,0))),1,"")</f>
        <v/>
      </c>
      <c r="S61" s="49">
        <f>IF(AND(S$8&gt;=INDEX('작업 관리'!$E$9:$E$61,MATCH($A61,'작업 관리'!$A$9:$A$61,0)),S$8&lt;=INDEX('작업 관리'!$F$9:$F$61,MATCH($A61,'작업 관리'!$A$9:$A$61,0))),1,"")</f>
        <v>1</v>
      </c>
    </row>
    <row r="62" spans="1:19" ht="16.5">
      <c r="A62" s="39"/>
      <c r="B62" s="15"/>
      <c r="C62" s="15"/>
      <c r="D62" s="51"/>
      <c r="E62" s="51"/>
      <c r="F62" s="51"/>
      <c r="G62" s="50"/>
      <c r="H62" s="50"/>
      <c r="I62" s="51"/>
      <c r="J62" s="51"/>
      <c r="K62" s="51"/>
      <c r="L62" s="51"/>
      <c r="M62" s="51"/>
      <c r="N62" s="50"/>
      <c r="O62" s="50"/>
      <c r="P62" s="51"/>
      <c r="Q62" s="51"/>
      <c r="R62" s="51"/>
      <c r="S62" s="51"/>
    </row>
    <row r="63" spans="1:19" ht="16.5">
      <c r="A63" s="48"/>
      <c r="B63" s="1"/>
      <c r="C63" s="1"/>
      <c r="D63" s="49"/>
      <c r="E63" s="49"/>
      <c r="F63" s="49"/>
      <c r="G63" s="50"/>
      <c r="H63" s="50"/>
      <c r="I63" s="49"/>
      <c r="J63" s="49"/>
      <c r="K63" s="49"/>
      <c r="L63" s="49"/>
      <c r="M63" s="49"/>
      <c r="N63" s="50"/>
      <c r="O63" s="50"/>
      <c r="P63" s="49"/>
      <c r="Q63" s="49"/>
      <c r="R63" s="49"/>
      <c r="S63" s="49"/>
    </row>
    <row r="64" spans="1:19" ht="16.5">
      <c r="A64" s="39"/>
      <c r="B64" s="15"/>
      <c r="C64" s="15"/>
      <c r="D64" s="51"/>
      <c r="E64" s="51"/>
      <c r="F64" s="51"/>
      <c r="G64" s="50"/>
      <c r="H64" s="50"/>
      <c r="I64" s="51"/>
      <c r="J64" s="51"/>
      <c r="K64" s="51"/>
      <c r="L64" s="51"/>
      <c r="M64" s="51"/>
      <c r="N64" s="50"/>
      <c r="O64" s="50"/>
      <c r="P64" s="51"/>
      <c r="Q64" s="51"/>
      <c r="R64" s="51"/>
      <c r="S64" s="51"/>
    </row>
    <row r="65" spans="1:19" ht="16.5">
      <c r="A65" s="39"/>
      <c r="B65" s="15"/>
      <c r="C65" s="15"/>
      <c r="D65" s="51"/>
      <c r="E65" s="51"/>
      <c r="F65" s="51"/>
      <c r="G65" s="50"/>
      <c r="H65" s="50"/>
      <c r="I65" s="51"/>
      <c r="J65" s="51"/>
      <c r="K65" s="51"/>
      <c r="L65" s="51"/>
      <c r="M65" s="51"/>
      <c r="N65" s="50"/>
      <c r="O65" s="50"/>
      <c r="P65" s="51"/>
      <c r="Q65" s="51"/>
      <c r="R65" s="51"/>
      <c r="S65" s="51"/>
    </row>
    <row r="66" spans="1:19" ht="16.5">
      <c r="A66" s="39"/>
      <c r="B66" s="15"/>
      <c r="C66" s="15"/>
      <c r="D66" s="51"/>
      <c r="E66" s="51"/>
      <c r="F66" s="51"/>
      <c r="G66" s="50"/>
      <c r="H66" s="50"/>
      <c r="I66" s="51"/>
      <c r="J66" s="51"/>
      <c r="K66" s="51"/>
      <c r="L66" s="51"/>
      <c r="M66" s="51"/>
      <c r="N66" s="50"/>
      <c r="O66" s="50"/>
      <c r="P66" s="51"/>
      <c r="Q66" s="51"/>
      <c r="R66" s="51"/>
      <c r="S66" s="51"/>
    </row>
    <row r="67" spans="1:19" ht="16.5">
      <c r="A67" s="39"/>
      <c r="B67" s="15"/>
      <c r="C67" s="15"/>
      <c r="D67" s="51"/>
      <c r="E67" s="51"/>
      <c r="F67" s="51"/>
      <c r="G67" s="50"/>
      <c r="H67" s="50"/>
      <c r="I67" s="51"/>
      <c r="J67" s="51"/>
      <c r="K67" s="51"/>
      <c r="L67" s="51"/>
      <c r="M67" s="51"/>
      <c r="N67" s="50"/>
      <c r="O67" s="50"/>
      <c r="P67" s="51"/>
      <c r="Q67" s="51"/>
      <c r="R67" s="51"/>
      <c r="S67" s="51"/>
    </row>
    <row r="68" spans="1:19" ht="16.5">
      <c r="A68" s="39"/>
      <c r="B68" s="15"/>
      <c r="C68" s="15"/>
      <c r="D68" s="51"/>
      <c r="E68" s="51"/>
      <c r="F68" s="51"/>
      <c r="G68" s="50"/>
      <c r="H68" s="50"/>
      <c r="I68" s="51"/>
      <c r="J68" s="51"/>
      <c r="K68" s="51"/>
      <c r="L68" s="51"/>
      <c r="M68" s="51"/>
      <c r="N68" s="50"/>
      <c r="O68" s="50"/>
      <c r="P68" s="51"/>
      <c r="Q68" s="51"/>
      <c r="R68" s="51"/>
      <c r="S68" s="51"/>
    </row>
    <row r="69" spans="1:19" ht="16.5">
      <c r="A69" s="39"/>
      <c r="B69" s="15"/>
      <c r="C69" s="15"/>
      <c r="D69" s="51"/>
      <c r="E69" s="51"/>
      <c r="F69" s="51"/>
      <c r="G69" s="50"/>
      <c r="H69" s="50"/>
      <c r="I69" s="51"/>
      <c r="J69" s="51"/>
      <c r="K69" s="51"/>
      <c r="L69" s="51"/>
      <c r="M69" s="51"/>
      <c r="N69" s="50"/>
      <c r="O69" s="50"/>
      <c r="P69" s="51"/>
      <c r="Q69" s="51"/>
      <c r="R69" s="51"/>
      <c r="S69" s="51"/>
    </row>
    <row r="70" spans="1:19" ht="16.5">
      <c r="A70" s="39"/>
      <c r="B70" s="15"/>
      <c r="C70" s="15"/>
      <c r="D70" s="51"/>
      <c r="E70" s="51"/>
      <c r="F70" s="51"/>
      <c r="G70" s="50"/>
      <c r="H70" s="50"/>
      <c r="I70" s="51"/>
      <c r="J70" s="51"/>
      <c r="K70" s="51"/>
      <c r="L70" s="51"/>
      <c r="M70" s="51"/>
      <c r="N70" s="50"/>
      <c r="O70" s="50"/>
      <c r="P70" s="51"/>
      <c r="Q70" s="51"/>
      <c r="R70" s="51"/>
      <c r="S70" s="51"/>
    </row>
    <row r="71" spans="1:19" ht="16.5">
      <c r="A71" s="39"/>
      <c r="B71" s="15"/>
      <c r="C71" s="15"/>
      <c r="D71" s="51"/>
      <c r="E71" s="51"/>
      <c r="F71" s="51"/>
      <c r="G71" s="50"/>
      <c r="H71" s="50"/>
      <c r="I71" s="51"/>
      <c r="J71" s="51"/>
      <c r="K71" s="51"/>
      <c r="L71" s="51"/>
      <c r="M71" s="51"/>
      <c r="N71" s="50"/>
      <c r="O71" s="50"/>
      <c r="P71" s="51"/>
      <c r="Q71" s="51"/>
      <c r="R71" s="51"/>
      <c r="S71" s="51"/>
    </row>
    <row r="72" spans="1:19" ht="16.5">
      <c r="A72" s="39"/>
      <c r="B72" s="15"/>
      <c r="C72" s="15"/>
      <c r="D72" s="51"/>
      <c r="E72" s="51"/>
      <c r="F72" s="51"/>
      <c r="G72" s="50"/>
      <c r="H72" s="50"/>
      <c r="I72" s="51"/>
      <c r="J72" s="51"/>
      <c r="K72" s="51"/>
      <c r="L72" s="51"/>
      <c r="M72" s="51"/>
      <c r="N72" s="50"/>
      <c r="O72" s="50"/>
      <c r="P72" s="51"/>
      <c r="Q72" s="51"/>
      <c r="R72" s="51"/>
      <c r="S72" s="51"/>
    </row>
    <row r="73" spans="1:19" ht="16.5">
      <c r="A73" s="39"/>
      <c r="B73" s="15"/>
      <c r="C73" s="15"/>
      <c r="D73" s="51"/>
      <c r="E73" s="51"/>
      <c r="F73" s="51"/>
      <c r="G73" s="50"/>
      <c r="H73" s="50"/>
      <c r="I73" s="51"/>
      <c r="J73" s="51"/>
      <c r="K73" s="51"/>
      <c r="L73" s="51"/>
      <c r="M73" s="51"/>
      <c r="N73" s="50"/>
      <c r="O73" s="50"/>
      <c r="P73" s="51"/>
      <c r="Q73" s="51"/>
      <c r="R73" s="51"/>
      <c r="S73" s="51"/>
    </row>
    <row r="74" spans="1:19" ht="16.5">
      <c r="A74" s="39"/>
      <c r="B74" s="15"/>
      <c r="C74" s="15"/>
      <c r="D74" s="51"/>
      <c r="E74" s="51"/>
      <c r="F74" s="51"/>
      <c r="G74" s="50"/>
      <c r="H74" s="50"/>
      <c r="I74" s="51"/>
      <c r="J74" s="51"/>
      <c r="K74" s="51"/>
      <c r="L74" s="51"/>
      <c r="M74" s="51"/>
      <c r="N74" s="50"/>
      <c r="O74" s="50"/>
      <c r="P74" s="51"/>
      <c r="Q74" s="51"/>
      <c r="R74" s="51"/>
      <c r="S74" s="51"/>
    </row>
    <row r="75" spans="1:19" ht="16.5">
      <c r="A75" s="39"/>
      <c r="B75" s="15"/>
      <c r="C75" s="15"/>
      <c r="D75" s="51"/>
      <c r="E75" s="51"/>
      <c r="F75" s="51"/>
      <c r="G75" s="50"/>
      <c r="H75" s="50"/>
      <c r="I75" s="51"/>
      <c r="J75" s="51"/>
      <c r="K75" s="51"/>
      <c r="L75" s="51"/>
      <c r="M75" s="51"/>
      <c r="N75" s="50"/>
      <c r="O75" s="50"/>
      <c r="P75" s="51"/>
      <c r="Q75" s="51"/>
      <c r="R75" s="51"/>
      <c r="S75" s="51"/>
    </row>
    <row r="76" spans="1:19" ht="16.5">
      <c r="A76" s="39"/>
      <c r="B76" s="15"/>
      <c r="C76" s="15"/>
      <c r="D76" s="51"/>
      <c r="E76" s="51"/>
      <c r="F76" s="51"/>
      <c r="G76" s="50"/>
      <c r="H76" s="50"/>
      <c r="I76" s="51"/>
      <c r="J76" s="51"/>
      <c r="K76" s="51"/>
      <c r="L76" s="51"/>
      <c r="M76" s="51"/>
      <c r="N76" s="50"/>
      <c r="O76" s="50"/>
      <c r="P76" s="51"/>
      <c r="Q76" s="51"/>
      <c r="R76" s="51"/>
      <c r="S76" s="51"/>
    </row>
    <row r="77" spans="1:19" ht="16.5">
      <c r="A77" s="39"/>
      <c r="B77" s="15"/>
      <c r="C77" s="15"/>
      <c r="D77" s="51"/>
      <c r="E77" s="51"/>
      <c r="F77" s="51"/>
      <c r="G77" s="50"/>
      <c r="H77" s="50"/>
      <c r="I77" s="51"/>
      <c r="J77" s="51"/>
      <c r="K77" s="51"/>
      <c r="L77" s="51"/>
      <c r="M77" s="51"/>
      <c r="N77" s="50"/>
      <c r="O77" s="50"/>
      <c r="P77" s="51"/>
      <c r="Q77" s="51"/>
      <c r="R77" s="51"/>
      <c r="S77" s="51"/>
    </row>
  </sheetData>
  <phoneticPr fontId="2" type="noConversion"/>
  <conditionalFormatting sqref="D9:S64">
    <cfRule type="cellIs" dxfId="5" priority="2" operator="equal">
      <formula>1</formula>
    </cfRule>
    <cfRule type="cellIs" dxfId="4" priority="3" operator="equal">
      <formula>2</formula>
    </cfRule>
    <cfRule type="cellIs" dxfId="3" priority="4" operator="equal">
      <formula>3</formula>
    </cfRule>
  </conditionalFormatting>
  <conditionalFormatting sqref="D65:S77">
    <cfRule type="cellIs" dxfId="2" priority="5" operator="equal">
      <formula>1</formula>
    </cfRule>
    <cfRule type="cellIs" dxfId="1" priority="6" operator="equal">
      <formula>2</formula>
    </cfRule>
    <cfRule type="cellIs" dxfId="0" priority="7" operator="equal">
      <formula>3</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2D8DE"/>
  </sheetPr>
  <dimension ref="A1:J77"/>
  <sheetViews>
    <sheetView showGridLines="0" workbookViewId="0">
      <pane xSplit="2" ySplit="8" topLeftCell="C9" activePane="bottomRight" state="frozen"/>
      <selection pane="topRight"/>
      <selection pane="bottomLeft"/>
      <selection pane="bottomRight" activeCell="C9" sqref="C9"/>
    </sheetView>
  </sheetViews>
  <sheetFormatPr defaultColWidth="8.7109375" defaultRowHeight="15"/>
  <cols>
    <col min="1" max="1" width="7.7109375" customWidth="1"/>
    <col min="2" max="2" width="33.7109375" customWidth="1"/>
    <col min="3" max="3" width="13.140625" customWidth="1"/>
    <col min="4" max="4" width="14.42578125" customWidth="1"/>
    <col min="5" max="5" width="23.7109375" customWidth="1"/>
    <col min="6" max="6" width="66" customWidth="1"/>
    <col min="7" max="10" width="30" customWidth="1"/>
  </cols>
  <sheetData>
    <row r="1" spans="1:10" ht="16.5">
      <c r="A1" s="1"/>
      <c r="B1" s="1"/>
      <c r="C1" s="1"/>
      <c r="D1" s="1"/>
      <c r="E1" s="1"/>
      <c r="F1" s="1"/>
      <c r="G1" s="1"/>
      <c r="H1" s="52"/>
      <c r="I1" s="52"/>
      <c r="J1" s="52"/>
    </row>
    <row r="2" spans="1:10" ht="236.25">
      <c r="A2" s="2" t="s">
        <v>194</v>
      </c>
      <c r="B2" s="1"/>
      <c r="C2" s="1"/>
      <c r="D2" s="1"/>
      <c r="E2" s="1"/>
      <c r="F2" s="1"/>
      <c r="G2" s="1"/>
      <c r="H2" s="52"/>
      <c r="I2" s="52"/>
      <c r="J2" s="52"/>
    </row>
    <row r="3" spans="1:10" ht="16.5">
      <c r="A3" s="3"/>
      <c r="B3" s="3"/>
      <c r="C3" s="3"/>
      <c r="D3" s="3"/>
      <c r="E3" s="3"/>
      <c r="F3" s="3"/>
      <c r="G3" s="3"/>
      <c r="H3" s="52"/>
      <c r="I3" s="52"/>
      <c r="J3" s="52"/>
    </row>
    <row r="4" spans="1:10" ht="162">
      <c r="A4" s="19" t="s">
        <v>51</v>
      </c>
      <c r="B4" s="1"/>
      <c r="C4" s="1"/>
      <c r="D4" s="1"/>
      <c r="E4" s="1"/>
      <c r="F4" s="1"/>
      <c r="G4" s="1"/>
      <c r="H4" s="52"/>
      <c r="I4" s="52"/>
      <c r="J4" s="52"/>
    </row>
    <row r="5" spans="1:10" ht="121.5">
      <c r="A5" s="19" t="s">
        <v>52</v>
      </c>
      <c r="B5" s="1"/>
      <c r="C5" s="1"/>
      <c r="D5" s="1"/>
      <c r="E5" s="1"/>
      <c r="F5" s="1"/>
      <c r="G5" s="1"/>
      <c r="H5" s="52"/>
      <c r="I5" s="52"/>
      <c r="J5" s="52"/>
    </row>
    <row r="6" spans="1:10" ht="202.5">
      <c r="A6" s="19" t="s">
        <v>53</v>
      </c>
      <c r="B6" s="1"/>
      <c r="C6" s="1"/>
      <c r="D6" s="1"/>
      <c r="E6" s="1"/>
      <c r="F6" s="1"/>
      <c r="G6" s="1"/>
      <c r="H6" s="52"/>
      <c r="I6" s="52"/>
      <c r="J6" s="52"/>
    </row>
    <row r="7" spans="1:10" ht="16.5">
      <c r="A7" s="1"/>
      <c r="B7" s="1"/>
      <c r="C7" s="1"/>
      <c r="D7" s="1"/>
      <c r="E7" s="1"/>
      <c r="F7" s="1"/>
      <c r="G7" s="1"/>
      <c r="H7" s="52"/>
      <c r="I7" s="52"/>
      <c r="J7" s="52"/>
    </row>
    <row r="8" spans="1:10" ht="16.5">
      <c r="A8" s="10" t="s">
        <v>39</v>
      </c>
      <c r="B8" s="11" t="s">
        <v>40</v>
      </c>
      <c r="C8" s="11" t="s">
        <v>54</v>
      </c>
      <c r="D8" s="11" t="s">
        <v>55</v>
      </c>
      <c r="E8" s="11" t="s">
        <v>56</v>
      </c>
      <c r="F8" s="11" t="s">
        <v>57</v>
      </c>
      <c r="G8" s="12" t="s">
        <v>58</v>
      </c>
      <c r="H8" s="11" t="s">
        <v>59</v>
      </c>
      <c r="I8" s="11" t="s">
        <v>60</v>
      </c>
      <c r="J8" s="12" t="s">
        <v>61</v>
      </c>
    </row>
    <row r="9" spans="1:10" ht="81">
      <c r="A9" s="32" t="s">
        <v>83</v>
      </c>
      <c r="B9" s="5" t="s">
        <v>84</v>
      </c>
      <c r="C9" s="5" t="s">
        <v>195</v>
      </c>
      <c r="D9" s="5" t="s">
        <v>68</v>
      </c>
      <c r="E9" s="5" t="s">
        <v>196</v>
      </c>
      <c r="F9" s="5" t="s">
        <v>197</v>
      </c>
      <c r="G9" s="53" t="s">
        <v>198</v>
      </c>
      <c r="H9" s="5" t="s">
        <v>199</v>
      </c>
      <c r="I9" s="5"/>
      <c r="J9" s="5" t="s">
        <v>200</v>
      </c>
    </row>
    <row r="10" spans="1:10" ht="81">
      <c r="A10" s="26" t="s">
        <v>86</v>
      </c>
      <c r="B10" s="27" t="s">
        <v>87</v>
      </c>
      <c r="C10" s="27" t="s">
        <v>8</v>
      </c>
      <c r="D10" s="27" t="s">
        <v>68</v>
      </c>
      <c r="E10" s="27" t="s">
        <v>201</v>
      </c>
      <c r="F10" s="27" t="s">
        <v>202</v>
      </c>
      <c r="G10" s="53" t="s">
        <v>198</v>
      </c>
      <c r="H10" s="5" t="s">
        <v>203</v>
      </c>
      <c r="I10" s="5" t="s">
        <v>204</v>
      </c>
      <c r="J10" s="5" t="s">
        <v>205</v>
      </c>
    </row>
    <row r="11" spans="1:10" ht="81">
      <c r="A11" s="32" t="s">
        <v>89</v>
      </c>
      <c r="B11" s="5" t="s">
        <v>90</v>
      </c>
      <c r="C11" s="5" t="s">
        <v>88</v>
      </c>
      <c r="D11" s="5" t="s">
        <v>68</v>
      </c>
      <c r="E11" s="5" t="s">
        <v>206</v>
      </c>
      <c r="F11" s="5" t="s">
        <v>207</v>
      </c>
      <c r="G11" s="53" t="s">
        <v>198</v>
      </c>
      <c r="H11" s="5" t="s">
        <v>208</v>
      </c>
      <c r="I11" s="5" t="s">
        <v>209</v>
      </c>
      <c r="J11" s="5" t="s">
        <v>210</v>
      </c>
    </row>
    <row r="12" spans="1:10" ht="81">
      <c r="A12" s="26" t="s">
        <v>92</v>
      </c>
      <c r="B12" s="27" t="s">
        <v>93</v>
      </c>
      <c r="C12" s="27" t="s">
        <v>88</v>
      </c>
      <c r="D12" s="27" t="s">
        <v>68</v>
      </c>
      <c r="E12" s="27" t="s">
        <v>211</v>
      </c>
      <c r="F12" s="27" t="s">
        <v>212</v>
      </c>
      <c r="G12" s="53" t="s">
        <v>198</v>
      </c>
      <c r="H12" s="5" t="s">
        <v>213</v>
      </c>
      <c r="I12" s="5" t="s">
        <v>214</v>
      </c>
      <c r="J12" s="5" t="s">
        <v>215</v>
      </c>
    </row>
    <row r="13" spans="1:10" ht="27">
      <c r="A13" s="32" t="s">
        <v>94</v>
      </c>
      <c r="B13" s="5" t="s">
        <v>95</v>
      </c>
      <c r="C13" s="5" t="s">
        <v>13</v>
      </c>
      <c r="D13" s="5" t="s">
        <v>68</v>
      </c>
      <c r="E13" s="5" t="s">
        <v>216</v>
      </c>
      <c r="F13" s="5" t="s">
        <v>217</v>
      </c>
      <c r="G13" s="53"/>
      <c r="H13" s="5" t="s">
        <v>218</v>
      </c>
      <c r="I13" s="5"/>
      <c r="J13" s="5" t="s">
        <v>219</v>
      </c>
    </row>
    <row r="14" spans="1:10" ht="81">
      <c r="A14" s="26" t="s">
        <v>96</v>
      </c>
      <c r="B14" s="27" t="s">
        <v>97</v>
      </c>
      <c r="C14" s="27" t="s">
        <v>195</v>
      </c>
      <c r="D14" s="27" t="s">
        <v>220</v>
      </c>
      <c r="E14" s="27" t="s">
        <v>221</v>
      </c>
      <c r="F14" s="27" t="s">
        <v>222</v>
      </c>
      <c r="G14" s="53" t="s">
        <v>198</v>
      </c>
      <c r="H14" s="5" t="s">
        <v>223</v>
      </c>
      <c r="I14" s="5"/>
      <c r="J14" s="5" t="s">
        <v>219</v>
      </c>
    </row>
    <row r="15" spans="1:10" ht="54">
      <c r="A15" s="32" t="s">
        <v>98</v>
      </c>
      <c r="B15" s="5" t="s">
        <v>99</v>
      </c>
      <c r="C15" s="5" t="s">
        <v>195</v>
      </c>
      <c r="D15" s="5" t="s">
        <v>68</v>
      </c>
      <c r="E15" s="5" t="s">
        <v>224</v>
      </c>
      <c r="F15" s="5" t="s">
        <v>225</v>
      </c>
      <c r="G15" s="53"/>
      <c r="H15" s="5" t="s">
        <v>226</v>
      </c>
      <c r="I15" s="5" t="s">
        <v>227</v>
      </c>
      <c r="J15" s="5" t="s">
        <v>228</v>
      </c>
    </row>
    <row r="16" spans="1:10" ht="162">
      <c r="A16" s="26" t="s">
        <v>100</v>
      </c>
      <c r="B16" s="27" t="s">
        <v>101</v>
      </c>
      <c r="C16" s="27" t="s">
        <v>229</v>
      </c>
      <c r="D16" s="27" t="s">
        <v>98</v>
      </c>
      <c r="E16" s="27" t="s">
        <v>230</v>
      </c>
      <c r="F16" s="27" t="s">
        <v>231</v>
      </c>
      <c r="G16" s="53"/>
      <c r="H16" s="5" t="s">
        <v>232</v>
      </c>
      <c r="I16" s="5" t="s">
        <v>233</v>
      </c>
      <c r="J16" s="5" t="s">
        <v>234</v>
      </c>
    </row>
    <row r="17" spans="1:10" ht="40.5">
      <c r="A17" s="32" t="s">
        <v>102</v>
      </c>
      <c r="B17" s="5" t="s">
        <v>103</v>
      </c>
      <c r="C17" s="5" t="s">
        <v>13</v>
      </c>
      <c r="D17" s="5" t="s">
        <v>92</v>
      </c>
      <c r="E17" s="5" t="s">
        <v>235</v>
      </c>
      <c r="F17" s="5" t="s">
        <v>236</v>
      </c>
      <c r="G17" s="53"/>
      <c r="H17" s="5" t="s">
        <v>237</v>
      </c>
      <c r="I17" s="5" t="s">
        <v>214</v>
      </c>
      <c r="J17" s="5" t="s">
        <v>215</v>
      </c>
    </row>
    <row r="18" spans="1:10" ht="40.5">
      <c r="A18" s="26" t="s">
        <v>104</v>
      </c>
      <c r="B18" s="27" t="s">
        <v>105</v>
      </c>
      <c r="C18" s="27" t="s">
        <v>122</v>
      </c>
      <c r="D18" s="27" t="s">
        <v>96</v>
      </c>
      <c r="E18" s="27" t="s">
        <v>238</v>
      </c>
      <c r="F18" s="27" t="s">
        <v>239</v>
      </c>
      <c r="G18" s="53"/>
      <c r="H18" s="5" t="s">
        <v>240</v>
      </c>
      <c r="I18" s="5" t="s">
        <v>241</v>
      </c>
      <c r="J18" s="5" t="s">
        <v>200</v>
      </c>
    </row>
    <row r="19" spans="1:10" ht="54">
      <c r="A19" s="32" t="s">
        <v>106</v>
      </c>
      <c r="B19" s="5" t="s">
        <v>107</v>
      </c>
      <c r="C19" s="5" t="s">
        <v>91</v>
      </c>
      <c r="D19" s="5" t="s">
        <v>96</v>
      </c>
      <c r="E19" s="5" t="s">
        <v>242</v>
      </c>
      <c r="F19" s="5" t="s">
        <v>243</v>
      </c>
      <c r="G19" s="53"/>
      <c r="H19" s="5" t="s">
        <v>244</v>
      </c>
      <c r="I19" s="5" t="s">
        <v>245</v>
      </c>
      <c r="J19" s="5" t="s">
        <v>210</v>
      </c>
    </row>
    <row r="20" spans="1:10" ht="27">
      <c r="A20" s="26" t="s">
        <v>108</v>
      </c>
      <c r="B20" s="27" t="s">
        <v>109</v>
      </c>
      <c r="C20" s="27" t="s">
        <v>88</v>
      </c>
      <c r="D20" s="27" t="s">
        <v>96</v>
      </c>
      <c r="E20" s="27" t="s">
        <v>246</v>
      </c>
      <c r="F20" s="27" t="s">
        <v>247</v>
      </c>
      <c r="G20" s="53"/>
      <c r="H20" s="5" t="s">
        <v>248</v>
      </c>
      <c r="I20" s="5" t="s">
        <v>249</v>
      </c>
      <c r="J20" s="5" t="s">
        <v>250</v>
      </c>
    </row>
    <row r="21" spans="1:10" ht="27">
      <c r="A21" s="32" t="s">
        <v>110</v>
      </c>
      <c r="B21" s="5" t="s">
        <v>111</v>
      </c>
      <c r="C21" s="5" t="s">
        <v>13</v>
      </c>
      <c r="D21" s="5" t="s">
        <v>104</v>
      </c>
      <c r="E21" s="5" t="s">
        <v>251</v>
      </c>
      <c r="F21" s="5" t="s">
        <v>252</v>
      </c>
      <c r="G21" s="53"/>
      <c r="H21" s="5" t="s">
        <v>253</v>
      </c>
      <c r="I21" s="5" t="s">
        <v>254</v>
      </c>
      <c r="J21" s="5" t="s">
        <v>255</v>
      </c>
    </row>
    <row r="22" spans="1:10" ht="40.5">
      <c r="A22" s="26" t="s">
        <v>112</v>
      </c>
      <c r="B22" s="27" t="s">
        <v>113</v>
      </c>
      <c r="C22" s="27" t="s">
        <v>13</v>
      </c>
      <c r="D22" s="27" t="s">
        <v>256</v>
      </c>
      <c r="E22" s="27" t="s">
        <v>257</v>
      </c>
      <c r="F22" s="27" t="s">
        <v>258</v>
      </c>
      <c r="G22" s="53"/>
      <c r="H22" s="5" t="s">
        <v>259</v>
      </c>
      <c r="I22" s="5" t="s">
        <v>260</v>
      </c>
      <c r="J22" s="5" t="s">
        <v>215</v>
      </c>
    </row>
    <row r="23" spans="1:10" ht="40.5">
      <c r="A23" s="32" t="s">
        <v>114</v>
      </c>
      <c r="B23" s="5" t="s">
        <v>115</v>
      </c>
      <c r="C23" s="5" t="s">
        <v>229</v>
      </c>
      <c r="D23" s="5" t="s">
        <v>261</v>
      </c>
      <c r="E23" s="5" t="s">
        <v>262</v>
      </c>
      <c r="F23" s="5" t="s">
        <v>263</v>
      </c>
      <c r="G23" s="53"/>
      <c r="H23" s="5" t="s">
        <v>264</v>
      </c>
      <c r="I23" s="5" t="s">
        <v>265</v>
      </c>
      <c r="J23" s="5" t="s">
        <v>266</v>
      </c>
    </row>
    <row r="24" spans="1:10" ht="27">
      <c r="A24" s="26" t="s">
        <v>116</v>
      </c>
      <c r="B24" s="27" t="s">
        <v>117</v>
      </c>
      <c r="C24" s="27" t="s">
        <v>8</v>
      </c>
      <c r="D24" s="27" t="s">
        <v>267</v>
      </c>
      <c r="E24" s="27" t="s">
        <v>268</v>
      </c>
      <c r="F24" s="27" t="s">
        <v>269</v>
      </c>
      <c r="G24" s="53"/>
      <c r="H24" s="5" t="s">
        <v>270</v>
      </c>
      <c r="I24" s="5" t="s">
        <v>271</v>
      </c>
      <c r="J24" s="5"/>
    </row>
    <row r="25" spans="1:10" ht="40.5">
      <c r="A25" s="32" t="s">
        <v>118</v>
      </c>
      <c r="B25" s="5" t="s">
        <v>119</v>
      </c>
      <c r="C25" s="5" t="s">
        <v>8</v>
      </c>
      <c r="D25" s="5" t="s">
        <v>116</v>
      </c>
      <c r="E25" s="5" t="s">
        <v>272</v>
      </c>
      <c r="F25" s="5" t="s">
        <v>273</v>
      </c>
      <c r="G25" s="53"/>
      <c r="H25" s="5" t="s">
        <v>274</v>
      </c>
      <c r="I25" s="5" t="s">
        <v>275</v>
      </c>
      <c r="J25" s="5" t="s">
        <v>276</v>
      </c>
    </row>
    <row r="26" spans="1:10" ht="27">
      <c r="A26" s="26" t="s">
        <v>120</v>
      </c>
      <c r="B26" s="27" t="s">
        <v>121</v>
      </c>
      <c r="C26" s="27" t="s">
        <v>8</v>
      </c>
      <c r="D26" s="27" t="s">
        <v>96</v>
      </c>
      <c r="E26" s="27" t="s">
        <v>277</v>
      </c>
      <c r="F26" s="27" t="s">
        <v>278</v>
      </c>
      <c r="G26" s="53"/>
      <c r="H26" s="5" t="s">
        <v>279</v>
      </c>
      <c r="I26" s="5" t="s">
        <v>204</v>
      </c>
      <c r="J26" s="5" t="s">
        <v>205</v>
      </c>
    </row>
    <row r="27" spans="1:10" ht="27">
      <c r="A27" s="32" t="s">
        <v>123</v>
      </c>
      <c r="B27" s="5" t="s">
        <v>124</v>
      </c>
      <c r="C27" s="5" t="s">
        <v>122</v>
      </c>
      <c r="D27" s="5" t="s">
        <v>96</v>
      </c>
      <c r="E27" s="5" t="s">
        <v>280</v>
      </c>
      <c r="F27" s="5" t="s">
        <v>281</v>
      </c>
      <c r="G27" s="53"/>
      <c r="H27" s="5" t="s">
        <v>282</v>
      </c>
      <c r="I27" s="5" t="s">
        <v>283</v>
      </c>
      <c r="J27" s="5"/>
    </row>
    <row r="28" spans="1:10" ht="40.5">
      <c r="A28" s="26" t="s">
        <v>125</v>
      </c>
      <c r="B28" s="27" t="s">
        <v>126</v>
      </c>
      <c r="C28" s="27" t="s">
        <v>284</v>
      </c>
      <c r="D28" s="27" t="s">
        <v>285</v>
      </c>
      <c r="E28" s="27" t="s">
        <v>286</v>
      </c>
      <c r="F28" s="27" t="s">
        <v>287</v>
      </c>
      <c r="G28" s="53"/>
      <c r="H28" s="5" t="s">
        <v>279</v>
      </c>
      <c r="I28" s="5" t="s">
        <v>204</v>
      </c>
      <c r="J28" s="5" t="s">
        <v>205</v>
      </c>
    </row>
    <row r="29" spans="1:10" ht="40.5">
      <c r="A29" s="32" t="s">
        <v>127</v>
      </c>
      <c r="B29" s="5" t="s">
        <v>128</v>
      </c>
      <c r="C29" s="5" t="s">
        <v>88</v>
      </c>
      <c r="D29" s="5" t="s">
        <v>288</v>
      </c>
      <c r="E29" s="5" t="s">
        <v>289</v>
      </c>
      <c r="F29" s="5" t="s">
        <v>290</v>
      </c>
      <c r="G29" s="53"/>
      <c r="H29" s="5" t="s">
        <v>291</v>
      </c>
      <c r="I29" s="5" t="s">
        <v>292</v>
      </c>
      <c r="J29" s="5" t="s">
        <v>293</v>
      </c>
    </row>
    <row r="30" spans="1:10" ht="27">
      <c r="A30" s="26" t="s">
        <v>129</v>
      </c>
      <c r="B30" s="27" t="s">
        <v>130</v>
      </c>
      <c r="C30" s="27" t="s">
        <v>294</v>
      </c>
      <c r="D30" s="27" t="s">
        <v>295</v>
      </c>
      <c r="E30" s="27" t="s">
        <v>296</v>
      </c>
      <c r="F30" s="27" t="s">
        <v>297</v>
      </c>
      <c r="G30" s="53"/>
      <c r="H30" s="5" t="s">
        <v>298</v>
      </c>
      <c r="I30" s="5" t="s">
        <v>299</v>
      </c>
      <c r="J30" s="5" t="s">
        <v>210</v>
      </c>
    </row>
    <row r="31" spans="1:10" ht="27">
      <c r="A31" s="32" t="s">
        <v>131</v>
      </c>
      <c r="B31" s="5" t="s">
        <v>132</v>
      </c>
      <c r="C31" s="5" t="s">
        <v>91</v>
      </c>
      <c r="D31" s="5" t="s">
        <v>127</v>
      </c>
      <c r="E31" s="5" t="s">
        <v>300</v>
      </c>
      <c r="F31" s="5" t="s">
        <v>301</v>
      </c>
      <c r="G31" s="53"/>
      <c r="H31" s="5" t="s">
        <v>302</v>
      </c>
      <c r="I31" s="5" t="s">
        <v>303</v>
      </c>
      <c r="J31" s="5" t="s">
        <v>304</v>
      </c>
    </row>
    <row r="32" spans="1:10" ht="27">
      <c r="A32" s="26" t="s">
        <v>133</v>
      </c>
      <c r="B32" s="27" t="s">
        <v>134</v>
      </c>
      <c r="C32" s="27" t="s">
        <v>13</v>
      </c>
      <c r="D32" s="27" t="s">
        <v>116</v>
      </c>
      <c r="E32" s="27" t="s">
        <v>305</v>
      </c>
      <c r="F32" s="27" t="s">
        <v>306</v>
      </c>
      <c r="G32" s="53"/>
      <c r="H32" s="5" t="s">
        <v>232</v>
      </c>
      <c r="I32" s="5" t="s">
        <v>233</v>
      </c>
      <c r="J32" s="5" t="s">
        <v>234</v>
      </c>
    </row>
    <row r="33" spans="1:10" ht="243">
      <c r="A33" s="32" t="s">
        <v>135</v>
      </c>
      <c r="B33" s="5" t="s">
        <v>136</v>
      </c>
      <c r="C33" s="5" t="s">
        <v>307</v>
      </c>
      <c r="D33" s="5" t="s">
        <v>308</v>
      </c>
      <c r="E33" s="5" t="s">
        <v>309</v>
      </c>
      <c r="F33" s="5" t="s">
        <v>310</v>
      </c>
      <c r="G33" s="53"/>
      <c r="H33" s="5" t="s">
        <v>232</v>
      </c>
      <c r="I33" s="5" t="s">
        <v>233</v>
      </c>
      <c r="J33" s="5" t="s">
        <v>234</v>
      </c>
    </row>
    <row r="34" spans="1:10" ht="40.5">
      <c r="A34" s="26" t="s">
        <v>137</v>
      </c>
      <c r="B34" s="27" t="s">
        <v>138</v>
      </c>
      <c r="C34" s="27" t="s">
        <v>229</v>
      </c>
      <c r="D34" s="27" t="s">
        <v>311</v>
      </c>
      <c r="E34" s="27" t="s">
        <v>312</v>
      </c>
      <c r="F34" s="27" t="s">
        <v>313</v>
      </c>
      <c r="G34" s="53"/>
      <c r="H34" s="5" t="s">
        <v>314</v>
      </c>
      <c r="I34" s="5" t="s">
        <v>315</v>
      </c>
      <c r="J34" s="5" t="s">
        <v>200</v>
      </c>
    </row>
    <row r="35" spans="1:10" ht="135">
      <c r="A35" s="32" t="s">
        <v>139</v>
      </c>
      <c r="B35" s="5" t="s">
        <v>140</v>
      </c>
      <c r="C35" s="5" t="s">
        <v>316</v>
      </c>
      <c r="D35" s="5" t="s">
        <v>317</v>
      </c>
      <c r="E35" s="5" t="s">
        <v>318</v>
      </c>
      <c r="F35" s="5" t="s">
        <v>319</v>
      </c>
      <c r="G35" s="53"/>
      <c r="H35" s="5" t="s">
        <v>320</v>
      </c>
      <c r="I35" s="5" t="s">
        <v>321</v>
      </c>
      <c r="J35" s="5" t="s">
        <v>322</v>
      </c>
    </row>
    <row r="36" spans="1:10" ht="27">
      <c r="A36" s="26" t="s">
        <v>141</v>
      </c>
      <c r="B36" s="27" t="s">
        <v>142</v>
      </c>
      <c r="C36" s="27" t="s">
        <v>91</v>
      </c>
      <c r="D36" s="27" t="s">
        <v>323</v>
      </c>
      <c r="E36" s="27" t="s">
        <v>324</v>
      </c>
      <c r="F36" s="27" t="s">
        <v>325</v>
      </c>
      <c r="G36" s="53"/>
      <c r="H36" s="5" t="s">
        <v>326</v>
      </c>
      <c r="I36" s="5" t="s">
        <v>327</v>
      </c>
      <c r="J36" s="5" t="s">
        <v>276</v>
      </c>
    </row>
    <row r="37" spans="1:10" ht="27">
      <c r="A37" s="32" t="s">
        <v>143</v>
      </c>
      <c r="B37" s="5" t="s">
        <v>144</v>
      </c>
      <c r="C37" s="5" t="s">
        <v>88</v>
      </c>
      <c r="D37" s="5" t="s">
        <v>328</v>
      </c>
      <c r="E37" s="5" t="s">
        <v>329</v>
      </c>
      <c r="F37" s="5" t="s">
        <v>330</v>
      </c>
      <c r="G37" s="53"/>
      <c r="H37" s="5" t="s">
        <v>331</v>
      </c>
      <c r="I37" s="5" t="s">
        <v>332</v>
      </c>
      <c r="J37" s="5"/>
    </row>
    <row r="38" spans="1:10" ht="27">
      <c r="A38" s="26" t="s">
        <v>145</v>
      </c>
      <c r="B38" s="27" t="s">
        <v>146</v>
      </c>
      <c r="C38" s="27" t="s">
        <v>333</v>
      </c>
      <c r="D38" s="27" t="s">
        <v>334</v>
      </c>
      <c r="E38" s="27" t="s">
        <v>335</v>
      </c>
      <c r="F38" s="27" t="s">
        <v>336</v>
      </c>
      <c r="G38" s="53"/>
      <c r="H38" s="5" t="s">
        <v>337</v>
      </c>
      <c r="I38" s="5" t="s">
        <v>338</v>
      </c>
      <c r="J38" s="5"/>
    </row>
    <row r="39" spans="1:10" ht="40.5">
      <c r="A39" s="32" t="s">
        <v>147</v>
      </c>
      <c r="B39" s="5" t="s">
        <v>148</v>
      </c>
      <c r="C39" s="5" t="s">
        <v>8</v>
      </c>
      <c r="D39" s="5" t="s">
        <v>110</v>
      </c>
      <c r="E39" s="5" t="s">
        <v>339</v>
      </c>
      <c r="F39" s="5" t="s">
        <v>340</v>
      </c>
      <c r="G39" s="53"/>
      <c r="H39" s="5" t="s">
        <v>341</v>
      </c>
      <c r="I39" s="5" t="s">
        <v>342</v>
      </c>
      <c r="J39" s="5" t="s">
        <v>343</v>
      </c>
    </row>
    <row r="40" spans="1:10" ht="40.5">
      <c r="A40" s="26" t="s">
        <v>149</v>
      </c>
      <c r="B40" s="27" t="s">
        <v>150</v>
      </c>
      <c r="C40" s="27" t="s">
        <v>122</v>
      </c>
      <c r="D40" s="27" t="s">
        <v>147</v>
      </c>
      <c r="E40" s="27" t="s">
        <v>344</v>
      </c>
      <c r="F40" s="27" t="s">
        <v>345</v>
      </c>
      <c r="G40" s="53"/>
      <c r="H40" s="5" t="s">
        <v>346</v>
      </c>
      <c r="I40" s="5" t="s">
        <v>347</v>
      </c>
      <c r="J40" s="5" t="s">
        <v>343</v>
      </c>
    </row>
    <row r="41" spans="1:10" ht="67.5">
      <c r="A41" s="32" t="s">
        <v>151</v>
      </c>
      <c r="B41" s="5" t="s">
        <v>152</v>
      </c>
      <c r="C41" s="5" t="s">
        <v>229</v>
      </c>
      <c r="D41" s="5" t="s">
        <v>348</v>
      </c>
      <c r="E41" s="5" t="s">
        <v>349</v>
      </c>
      <c r="F41" s="5" t="s">
        <v>350</v>
      </c>
      <c r="G41" s="53"/>
      <c r="H41" s="5" t="s">
        <v>351</v>
      </c>
      <c r="I41" s="5" t="s">
        <v>352</v>
      </c>
      <c r="J41" s="5" t="s">
        <v>255</v>
      </c>
    </row>
    <row r="42" spans="1:10">
      <c r="A42" s="26" t="s">
        <v>153</v>
      </c>
      <c r="B42" s="27" t="s">
        <v>154</v>
      </c>
      <c r="C42" s="27" t="s">
        <v>13</v>
      </c>
      <c r="D42" s="27" t="s">
        <v>353</v>
      </c>
      <c r="E42" s="27" t="s">
        <v>354</v>
      </c>
      <c r="F42" s="27" t="s">
        <v>355</v>
      </c>
      <c r="G42" s="53"/>
      <c r="H42" s="5" t="s">
        <v>356</v>
      </c>
      <c r="I42" s="5" t="s">
        <v>357</v>
      </c>
      <c r="J42" s="5" t="s">
        <v>358</v>
      </c>
    </row>
    <row r="43" spans="1:10" ht="40.5">
      <c r="A43" s="32" t="s">
        <v>155</v>
      </c>
      <c r="B43" s="5" t="s">
        <v>156</v>
      </c>
      <c r="C43" s="5" t="s">
        <v>359</v>
      </c>
      <c r="D43" s="5" t="s">
        <v>151</v>
      </c>
      <c r="E43" s="5" t="s">
        <v>360</v>
      </c>
      <c r="F43" s="5" t="s">
        <v>361</v>
      </c>
      <c r="G43" s="53"/>
      <c r="H43" s="5" t="s">
        <v>362</v>
      </c>
      <c r="I43" s="5" t="s">
        <v>363</v>
      </c>
      <c r="J43" s="5" t="s">
        <v>364</v>
      </c>
    </row>
    <row r="44" spans="1:10" ht="27">
      <c r="A44" s="26" t="s">
        <v>157</v>
      </c>
      <c r="B44" s="27" t="s">
        <v>158</v>
      </c>
      <c r="C44" s="27" t="s">
        <v>8</v>
      </c>
      <c r="D44" s="27" t="s">
        <v>149</v>
      </c>
      <c r="E44" s="27" t="s">
        <v>365</v>
      </c>
      <c r="F44" s="27" t="s">
        <v>366</v>
      </c>
      <c r="G44" s="53"/>
      <c r="H44" s="5" t="s">
        <v>367</v>
      </c>
      <c r="I44" s="5" t="s">
        <v>368</v>
      </c>
      <c r="J44" s="5" t="s">
        <v>369</v>
      </c>
    </row>
    <row r="45" spans="1:10" ht="27">
      <c r="A45" s="32" t="s">
        <v>159</v>
      </c>
      <c r="B45" s="5" t="s">
        <v>160</v>
      </c>
      <c r="C45" s="5" t="s">
        <v>370</v>
      </c>
      <c r="D45" s="5" t="s">
        <v>353</v>
      </c>
      <c r="E45" s="5" t="s">
        <v>371</v>
      </c>
      <c r="F45" s="5" t="s">
        <v>372</v>
      </c>
      <c r="G45" s="53"/>
      <c r="H45" s="5" t="s">
        <v>373</v>
      </c>
      <c r="I45" s="5" t="s">
        <v>374</v>
      </c>
      <c r="J45" s="5" t="s">
        <v>358</v>
      </c>
    </row>
    <row r="46" spans="1:10" ht="27">
      <c r="A46" s="26" t="s">
        <v>161</v>
      </c>
      <c r="B46" s="27" t="s">
        <v>162</v>
      </c>
      <c r="C46" s="27" t="s">
        <v>375</v>
      </c>
      <c r="D46" s="27" t="s">
        <v>157</v>
      </c>
      <c r="E46" s="27" t="s">
        <v>376</v>
      </c>
      <c r="F46" s="27" t="s">
        <v>377</v>
      </c>
      <c r="G46" s="53"/>
      <c r="H46" s="5" t="s">
        <v>378</v>
      </c>
      <c r="I46" s="5" t="s">
        <v>342</v>
      </c>
      <c r="J46" s="5" t="s">
        <v>255</v>
      </c>
    </row>
    <row r="47" spans="1:10" ht="40.5">
      <c r="A47" s="32" t="s">
        <v>163</v>
      </c>
      <c r="B47" s="5" t="s">
        <v>164</v>
      </c>
      <c r="C47" s="5" t="s">
        <v>370</v>
      </c>
      <c r="D47" s="5" t="s">
        <v>379</v>
      </c>
      <c r="E47" s="5" t="s">
        <v>380</v>
      </c>
      <c r="F47" s="5" t="s">
        <v>381</v>
      </c>
      <c r="G47" s="53"/>
      <c r="H47" s="5" t="s">
        <v>382</v>
      </c>
      <c r="I47" s="5" t="s">
        <v>383</v>
      </c>
      <c r="J47" s="5" t="s">
        <v>255</v>
      </c>
    </row>
    <row r="48" spans="1:10" ht="40.5">
      <c r="A48" s="26" t="s">
        <v>165</v>
      </c>
      <c r="B48" s="27" t="s">
        <v>166</v>
      </c>
      <c r="C48" s="27" t="s">
        <v>8</v>
      </c>
      <c r="D48" s="27" t="s">
        <v>163</v>
      </c>
      <c r="E48" s="27" t="s">
        <v>384</v>
      </c>
      <c r="F48" s="27" t="s">
        <v>385</v>
      </c>
      <c r="G48" s="53"/>
      <c r="H48" s="5" t="s">
        <v>386</v>
      </c>
      <c r="I48" s="5" t="s">
        <v>387</v>
      </c>
      <c r="J48" s="5" t="s">
        <v>388</v>
      </c>
    </row>
    <row r="49" spans="1:10" ht="40.5">
      <c r="A49" s="32" t="s">
        <v>167</v>
      </c>
      <c r="B49" s="5" t="s">
        <v>168</v>
      </c>
      <c r="C49" s="5" t="s">
        <v>316</v>
      </c>
      <c r="D49" s="5" t="s">
        <v>165</v>
      </c>
      <c r="E49" s="5" t="s">
        <v>389</v>
      </c>
      <c r="F49" s="5" t="s">
        <v>390</v>
      </c>
      <c r="G49" s="53"/>
      <c r="H49" s="5" t="s">
        <v>391</v>
      </c>
      <c r="I49" s="5" t="s">
        <v>392</v>
      </c>
      <c r="J49" s="5" t="s">
        <v>393</v>
      </c>
    </row>
    <row r="50" spans="1:10" ht="27">
      <c r="A50" s="26" t="s">
        <v>169</v>
      </c>
      <c r="B50" s="27" t="s">
        <v>170</v>
      </c>
      <c r="C50" s="27" t="s">
        <v>91</v>
      </c>
      <c r="D50" s="27" t="s">
        <v>394</v>
      </c>
      <c r="E50" s="27" t="s">
        <v>395</v>
      </c>
      <c r="F50" s="27" t="s">
        <v>396</v>
      </c>
      <c r="G50" s="53"/>
      <c r="H50" s="5" t="s">
        <v>397</v>
      </c>
      <c r="I50" s="5" t="s">
        <v>398</v>
      </c>
      <c r="J50" s="5" t="s">
        <v>304</v>
      </c>
    </row>
    <row r="51" spans="1:10" ht="27">
      <c r="A51" s="32" t="s">
        <v>171</v>
      </c>
      <c r="B51" s="5" t="s">
        <v>172</v>
      </c>
      <c r="C51" s="5" t="s">
        <v>399</v>
      </c>
      <c r="D51" s="5" t="s">
        <v>169</v>
      </c>
      <c r="E51" s="5" t="s">
        <v>400</v>
      </c>
      <c r="F51" s="5" t="s">
        <v>401</v>
      </c>
      <c r="G51" s="53"/>
      <c r="H51" s="5" t="s">
        <v>402</v>
      </c>
      <c r="I51" s="5" t="s">
        <v>403</v>
      </c>
      <c r="J51" s="5" t="s">
        <v>404</v>
      </c>
    </row>
    <row r="52" spans="1:10" ht="40.5">
      <c r="A52" s="26" t="s">
        <v>173</v>
      </c>
      <c r="B52" s="27" t="s">
        <v>174</v>
      </c>
      <c r="C52" s="27" t="s">
        <v>8</v>
      </c>
      <c r="D52" s="27" t="s">
        <v>405</v>
      </c>
      <c r="E52" s="27" t="s">
        <v>406</v>
      </c>
      <c r="F52" s="27" t="s">
        <v>407</v>
      </c>
      <c r="G52" s="53"/>
      <c r="H52" s="5" t="s">
        <v>408</v>
      </c>
      <c r="I52" s="5" t="s">
        <v>409</v>
      </c>
      <c r="J52" s="5" t="s">
        <v>410</v>
      </c>
    </row>
    <row r="53" spans="1:10" ht="27">
      <c r="A53" s="32" t="s">
        <v>175</v>
      </c>
      <c r="B53" s="5" t="s">
        <v>176</v>
      </c>
      <c r="C53" s="5" t="s">
        <v>411</v>
      </c>
      <c r="D53" s="5" t="s">
        <v>353</v>
      </c>
      <c r="E53" s="5" t="s">
        <v>412</v>
      </c>
      <c r="F53" s="5" t="s">
        <v>413</v>
      </c>
      <c r="G53" s="53"/>
      <c r="H53" s="5" t="s">
        <v>414</v>
      </c>
      <c r="I53" s="5" t="s">
        <v>415</v>
      </c>
      <c r="J53" s="5" t="s">
        <v>293</v>
      </c>
    </row>
    <row r="54" spans="1:10">
      <c r="A54" s="26" t="s">
        <v>177</v>
      </c>
      <c r="B54" s="27" t="s">
        <v>178</v>
      </c>
      <c r="C54" s="27" t="s">
        <v>195</v>
      </c>
      <c r="D54" s="27" t="s">
        <v>353</v>
      </c>
      <c r="E54" s="27" t="s">
        <v>416</v>
      </c>
      <c r="F54" s="27" t="s">
        <v>417</v>
      </c>
      <c r="G54" s="53"/>
      <c r="H54" s="5" t="s">
        <v>418</v>
      </c>
      <c r="I54" s="5" t="s">
        <v>419</v>
      </c>
      <c r="J54" s="5"/>
    </row>
    <row r="55" spans="1:10" ht="40.5">
      <c r="A55" s="32" t="s">
        <v>179</v>
      </c>
      <c r="B55" s="5" t="s">
        <v>180</v>
      </c>
      <c r="C55" s="5" t="s">
        <v>8</v>
      </c>
      <c r="D55" s="5" t="s">
        <v>177</v>
      </c>
      <c r="E55" s="5" t="s">
        <v>420</v>
      </c>
      <c r="F55" s="5" t="s">
        <v>421</v>
      </c>
      <c r="G55" s="53"/>
      <c r="H55" s="5" t="s">
        <v>422</v>
      </c>
      <c r="I55" s="5" t="s">
        <v>423</v>
      </c>
      <c r="J55" s="5" t="s">
        <v>424</v>
      </c>
    </row>
    <row r="56" spans="1:10" ht="27">
      <c r="A56" s="26" t="s">
        <v>181</v>
      </c>
      <c r="B56" s="27" t="s">
        <v>182</v>
      </c>
      <c r="C56" s="27" t="s">
        <v>13</v>
      </c>
      <c r="D56" s="27" t="s">
        <v>177</v>
      </c>
      <c r="E56" s="27" t="s">
        <v>425</v>
      </c>
      <c r="F56" s="27" t="s">
        <v>426</v>
      </c>
      <c r="G56" s="53"/>
      <c r="H56" s="5" t="s">
        <v>427</v>
      </c>
      <c r="I56" s="5" t="s">
        <v>428</v>
      </c>
      <c r="J56" s="5" t="s">
        <v>429</v>
      </c>
    </row>
    <row r="57" spans="1:10" ht="40.5">
      <c r="A57" s="32" t="s">
        <v>183</v>
      </c>
      <c r="B57" s="5" t="s">
        <v>184</v>
      </c>
      <c r="C57" s="5" t="s">
        <v>13</v>
      </c>
      <c r="D57" s="5" t="s">
        <v>430</v>
      </c>
      <c r="E57" s="5" t="s">
        <v>431</v>
      </c>
      <c r="F57" s="5" t="s">
        <v>432</v>
      </c>
      <c r="G57" s="53"/>
      <c r="H57" s="5" t="s">
        <v>433</v>
      </c>
      <c r="I57" s="5" t="s">
        <v>434</v>
      </c>
      <c r="J57" s="5" t="s">
        <v>200</v>
      </c>
    </row>
    <row r="58" spans="1:10" ht="27">
      <c r="A58" s="26" t="s">
        <v>185</v>
      </c>
      <c r="B58" s="27" t="s">
        <v>186</v>
      </c>
      <c r="C58" s="27" t="s">
        <v>88</v>
      </c>
      <c r="D58" s="27" t="s">
        <v>435</v>
      </c>
      <c r="E58" s="27" t="s">
        <v>436</v>
      </c>
      <c r="F58" s="27" t="s">
        <v>437</v>
      </c>
      <c r="G58" s="53"/>
      <c r="H58" s="5" t="s">
        <v>418</v>
      </c>
      <c r="I58" s="5" t="s">
        <v>419</v>
      </c>
      <c r="J58" s="5" t="s">
        <v>438</v>
      </c>
    </row>
    <row r="59" spans="1:10">
      <c r="A59" s="32" t="s">
        <v>187</v>
      </c>
      <c r="B59" s="5" t="s">
        <v>188</v>
      </c>
      <c r="C59" s="5" t="s">
        <v>195</v>
      </c>
      <c r="D59" s="5" t="s">
        <v>181</v>
      </c>
      <c r="E59" s="5" t="s">
        <v>439</v>
      </c>
      <c r="F59" s="5" t="s">
        <v>440</v>
      </c>
      <c r="G59" s="53"/>
      <c r="H59" s="5" t="s">
        <v>418</v>
      </c>
      <c r="I59" s="5"/>
      <c r="J59" s="5" t="s">
        <v>441</v>
      </c>
    </row>
    <row r="60" spans="1:10" ht="27">
      <c r="A60" s="26" t="s">
        <v>189</v>
      </c>
      <c r="B60" s="27" t="s">
        <v>190</v>
      </c>
      <c r="C60" s="27" t="s">
        <v>91</v>
      </c>
      <c r="D60" s="27" t="s">
        <v>442</v>
      </c>
      <c r="E60" s="27" t="s">
        <v>443</v>
      </c>
      <c r="F60" s="27" t="s">
        <v>444</v>
      </c>
      <c r="G60" s="53"/>
      <c r="H60" s="5" t="s">
        <v>418</v>
      </c>
      <c r="I60" s="5"/>
      <c r="J60" s="5" t="s">
        <v>441</v>
      </c>
    </row>
    <row r="61" spans="1:10" ht="27">
      <c r="A61" s="32" t="s">
        <v>191</v>
      </c>
      <c r="B61" s="5" t="s">
        <v>192</v>
      </c>
      <c r="C61" s="5" t="s">
        <v>195</v>
      </c>
      <c r="D61" s="5" t="s">
        <v>189</v>
      </c>
      <c r="E61" s="5" t="s">
        <v>445</v>
      </c>
      <c r="F61" s="5" t="s">
        <v>446</v>
      </c>
      <c r="G61" s="53"/>
      <c r="H61" s="5" t="s">
        <v>447</v>
      </c>
      <c r="I61" s="5"/>
      <c r="J61" s="5" t="s">
        <v>448</v>
      </c>
    </row>
    <row r="62" spans="1:10">
      <c r="A62" s="26"/>
      <c r="B62" s="27"/>
      <c r="C62" s="27"/>
      <c r="D62" s="27"/>
      <c r="E62" s="27"/>
      <c r="F62" s="27"/>
      <c r="G62" s="53"/>
      <c r="H62" s="5"/>
      <c r="I62" s="5"/>
      <c r="J62" s="5"/>
    </row>
    <row r="63" spans="1:10">
      <c r="A63" s="32"/>
      <c r="B63" s="5"/>
      <c r="C63" s="5"/>
      <c r="D63" s="5"/>
      <c r="E63" s="5"/>
      <c r="F63" s="5"/>
      <c r="G63" s="53"/>
      <c r="H63" s="5"/>
      <c r="I63" s="5"/>
      <c r="J63" s="5"/>
    </row>
    <row r="64" spans="1:10" ht="16.5">
      <c r="A64" s="54"/>
      <c r="B64" s="55"/>
      <c r="C64" s="55"/>
      <c r="D64" s="55"/>
      <c r="E64" s="55"/>
      <c r="F64" s="55"/>
      <c r="G64" s="56"/>
      <c r="H64" s="57"/>
      <c r="I64" s="57"/>
      <c r="J64" s="57"/>
    </row>
    <row r="65" spans="1:10" ht="16.5">
      <c r="A65" s="54"/>
      <c r="B65" s="55"/>
      <c r="C65" s="55"/>
      <c r="D65" s="55"/>
      <c r="E65" s="55"/>
      <c r="F65" s="55"/>
      <c r="G65" s="56"/>
      <c r="H65" s="57"/>
      <c r="I65" s="57"/>
      <c r="J65" s="57"/>
    </row>
    <row r="66" spans="1:10" ht="16.5">
      <c r="A66" s="54"/>
      <c r="B66" s="55"/>
      <c r="C66" s="55"/>
      <c r="D66" s="55"/>
      <c r="E66" s="55"/>
      <c r="F66" s="55"/>
      <c r="G66" s="56"/>
      <c r="H66" s="57"/>
      <c r="I66" s="57"/>
      <c r="J66" s="57"/>
    </row>
    <row r="67" spans="1:10" ht="16.5">
      <c r="A67" s="54"/>
      <c r="B67" s="55"/>
      <c r="C67" s="55"/>
      <c r="D67" s="55"/>
      <c r="E67" s="55"/>
      <c r="F67" s="55"/>
      <c r="G67" s="56"/>
      <c r="H67" s="57"/>
      <c r="I67" s="57"/>
      <c r="J67" s="57"/>
    </row>
    <row r="68" spans="1:10" ht="16.5">
      <c r="A68" s="54"/>
      <c r="B68" s="55"/>
      <c r="C68" s="55"/>
      <c r="D68" s="55"/>
      <c r="E68" s="55"/>
      <c r="F68" s="55"/>
      <c r="G68" s="56"/>
      <c r="H68" s="57"/>
      <c r="I68" s="57"/>
      <c r="J68" s="57"/>
    </row>
    <row r="69" spans="1:10" ht="16.5">
      <c r="A69" s="54"/>
      <c r="B69" s="55"/>
      <c r="C69" s="55"/>
      <c r="D69" s="55"/>
      <c r="E69" s="55"/>
      <c r="F69" s="55"/>
      <c r="G69" s="56"/>
      <c r="H69" s="57"/>
      <c r="I69" s="57"/>
      <c r="J69" s="57"/>
    </row>
    <row r="70" spans="1:10" ht="16.5">
      <c r="A70" s="54"/>
      <c r="B70" s="55"/>
      <c r="C70" s="55"/>
      <c r="D70" s="55"/>
      <c r="E70" s="55"/>
      <c r="F70" s="55"/>
      <c r="G70" s="56"/>
      <c r="H70" s="57"/>
      <c r="I70" s="57"/>
      <c r="J70" s="57"/>
    </row>
    <row r="71" spans="1:10" ht="16.5">
      <c r="A71" s="54"/>
      <c r="B71" s="55"/>
      <c r="C71" s="55"/>
      <c r="D71" s="55"/>
      <c r="E71" s="55"/>
      <c r="F71" s="55"/>
      <c r="G71" s="56"/>
      <c r="H71" s="57"/>
      <c r="I71" s="57"/>
      <c r="J71" s="57"/>
    </row>
    <row r="72" spans="1:10" ht="16.5">
      <c r="A72" s="54"/>
      <c r="B72" s="55"/>
      <c r="C72" s="55"/>
      <c r="D72" s="55"/>
      <c r="E72" s="55"/>
      <c r="F72" s="55"/>
      <c r="G72" s="56"/>
      <c r="H72" s="57"/>
      <c r="I72" s="57"/>
      <c r="J72" s="57"/>
    </row>
    <row r="73" spans="1:10" ht="16.5">
      <c r="A73" s="54"/>
      <c r="B73" s="55"/>
      <c r="C73" s="55"/>
      <c r="D73" s="55"/>
      <c r="E73" s="55"/>
      <c r="F73" s="55"/>
      <c r="G73" s="56"/>
      <c r="H73" s="57"/>
      <c r="I73" s="57"/>
      <c r="J73" s="57"/>
    </row>
    <row r="74" spans="1:10" ht="16.5">
      <c r="A74" s="54"/>
      <c r="B74" s="55"/>
      <c r="C74" s="55"/>
      <c r="D74" s="55"/>
      <c r="E74" s="55"/>
      <c r="F74" s="55"/>
      <c r="G74" s="56"/>
      <c r="H74" s="57"/>
      <c r="I74" s="57"/>
      <c r="J74" s="57"/>
    </row>
    <row r="75" spans="1:10" ht="16.5">
      <c r="A75" s="54"/>
      <c r="B75" s="55"/>
      <c r="C75" s="55"/>
      <c r="D75" s="55"/>
      <c r="E75" s="55"/>
      <c r="F75" s="55"/>
      <c r="G75" s="56"/>
      <c r="H75" s="57"/>
      <c r="I75" s="57"/>
      <c r="J75" s="57"/>
    </row>
    <row r="76" spans="1:10" ht="16.5">
      <c r="A76" s="54"/>
      <c r="B76" s="55"/>
      <c r="C76" s="55"/>
      <c r="D76" s="55"/>
      <c r="E76" s="55"/>
      <c r="F76" s="55"/>
      <c r="G76" s="56"/>
      <c r="H76" s="57"/>
      <c r="I76" s="57"/>
      <c r="J76" s="57"/>
    </row>
    <row r="77" spans="1:10" ht="16.5">
      <c r="A77" s="54"/>
      <c r="B77" s="55"/>
      <c r="C77" s="55"/>
      <c r="D77" s="55"/>
      <c r="E77" s="55"/>
      <c r="F77" s="55"/>
      <c r="G77" s="56"/>
      <c r="H77" s="57"/>
      <c r="I77" s="57"/>
      <c r="J77" s="57"/>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
  <sheetViews>
    <sheetView workbookViewId="0"/>
  </sheetViews>
  <sheetFormatPr defaultRowHeight="15"/>
  <cols>
    <col min="1" max="6" width="28" customWidth="1"/>
  </cols>
  <sheetData>
    <row r="1" spans="1:6" ht="33">
      <c r="A1" s="52" t="s">
        <v>62</v>
      </c>
      <c r="B1" s="52"/>
      <c r="C1" s="52"/>
      <c r="D1" s="52"/>
      <c r="E1" s="52"/>
      <c r="F1" s="52"/>
    </row>
    <row r="2" spans="1:6" ht="16.5">
      <c r="A2" s="52"/>
      <c r="B2" s="52"/>
      <c r="C2" s="52"/>
      <c r="D2" s="52"/>
      <c r="E2" s="52"/>
      <c r="F2" s="52"/>
    </row>
    <row r="3" spans="1:6" ht="16.5">
      <c r="A3" s="52"/>
      <c r="B3" s="52"/>
      <c r="C3" s="52"/>
      <c r="D3" s="52"/>
      <c r="E3" s="52"/>
      <c r="F3" s="52"/>
    </row>
    <row r="4" spans="1:6">
      <c r="A4" s="5" t="s">
        <v>39</v>
      </c>
      <c r="B4" s="5" t="s">
        <v>63</v>
      </c>
      <c r="C4" s="5" t="s">
        <v>64</v>
      </c>
      <c r="D4" s="5" t="s">
        <v>65</v>
      </c>
      <c r="E4" s="5" t="s">
        <v>66</v>
      </c>
      <c r="F4" s="5" t="s">
        <v>67</v>
      </c>
    </row>
    <row r="5" spans="1:6" ht="67.5">
      <c r="A5" s="5" t="s">
        <v>68</v>
      </c>
      <c r="B5" s="5" t="s">
        <v>69</v>
      </c>
      <c r="C5" s="5" t="s">
        <v>70</v>
      </c>
      <c r="D5" s="5">
        <v>1</v>
      </c>
      <c r="E5" s="5" t="s">
        <v>71</v>
      </c>
      <c r="F5" s="5" t="s">
        <v>72</v>
      </c>
    </row>
    <row r="6" spans="1:6" ht="54">
      <c r="A6" s="5" t="s">
        <v>73</v>
      </c>
      <c r="B6" s="5" t="s">
        <v>74</v>
      </c>
      <c r="C6" s="5" t="s">
        <v>70</v>
      </c>
      <c r="D6" s="5">
        <v>1</v>
      </c>
      <c r="E6" s="5" t="s">
        <v>75</v>
      </c>
      <c r="F6" s="5" t="s">
        <v>76</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
  <sheetViews>
    <sheetView workbookViewId="0"/>
  </sheetViews>
  <sheetFormatPr defaultRowHeight="15"/>
  <sheetData>
    <row r="1" spans="1:5" ht="33">
      <c r="A1" s="52" t="s">
        <v>0</v>
      </c>
      <c r="B1" s="52" t="s">
        <v>2</v>
      </c>
      <c r="C1" s="52" t="s">
        <v>449</v>
      </c>
      <c r="D1" s="52" t="s">
        <v>450</v>
      </c>
      <c r="E1" s="52" t="s">
        <v>4</v>
      </c>
    </row>
    <row r="2" spans="1:5" ht="33">
      <c r="A2" s="52" t="s">
        <v>6</v>
      </c>
      <c r="B2" s="52" t="s">
        <v>451</v>
      </c>
      <c r="C2" s="52" t="s">
        <v>452</v>
      </c>
      <c r="D2" s="52" t="s">
        <v>8</v>
      </c>
      <c r="E2" s="52" t="s">
        <v>9</v>
      </c>
    </row>
    <row r="3" spans="1:5" ht="33">
      <c r="A3" s="52" t="s">
        <v>11</v>
      </c>
      <c r="B3" s="52" t="s">
        <v>453</v>
      </c>
      <c r="C3" s="52" t="s">
        <v>454</v>
      </c>
      <c r="D3" s="52" t="s">
        <v>13</v>
      </c>
      <c r="E3" s="52" t="s">
        <v>9</v>
      </c>
    </row>
    <row r="4" spans="1:5" ht="99">
      <c r="A4" s="52" t="s">
        <v>455</v>
      </c>
      <c r="B4" s="52" t="s">
        <v>456</v>
      </c>
      <c r="C4" s="52" t="s">
        <v>457</v>
      </c>
      <c r="D4" s="52" t="s">
        <v>9</v>
      </c>
      <c r="E4" s="52" t="s">
        <v>9</v>
      </c>
    </row>
    <row r="5" spans="1:5" ht="198">
      <c r="A5" s="52" t="s">
        <v>77</v>
      </c>
      <c r="B5" s="52" t="s">
        <v>458</v>
      </c>
      <c r="C5" s="52" t="s">
        <v>78</v>
      </c>
      <c r="D5" s="52" t="s">
        <v>9</v>
      </c>
      <c r="E5" s="52" t="s">
        <v>9</v>
      </c>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5"/>
  <sheetViews>
    <sheetView workbookViewId="0"/>
  </sheetViews>
  <sheetFormatPr defaultRowHeight="15"/>
  <cols>
    <col min="1" max="2" width="48" customWidth="1"/>
  </cols>
  <sheetData>
    <row r="1" spans="1:2" ht="16.5">
      <c r="A1" s="52" t="s">
        <v>39</v>
      </c>
      <c r="B1" s="52" t="s">
        <v>459</v>
      </c>
    </row>
    <row r="2" spans="1:2" ht="33">
      <c r="A2" s="52" t="s">
        <v>460</v>
      </c>
      <c r="B2" s="52" t="s">
        <v>461</v>
      </c>
    </row>
    <row r="3" spans="1:2" ht="33">
      <c r="A3" s="52" t="s">
        <v>462</v>
      </c>
      <c r="B3" s="52" t="s">
        <v>461</v>
      </c>
    </row>
    <row r="4" spans="1:2" ht="16.5">
      <c r="A4" s="52"/>
      <c r="B4" s="52"/>
    </row>
    <row r="5" spans="1:2" ht="16.5">
      <c r="A5" s="52"/>
      <c r="B5" s="52"/>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7</vt:i4>
      </vt:variant>
      <vt:variant>
        <vt:lpstr>이름 지정된 범위</vt:lpstr>
      </vt:variant>
      <vt:variant>
        <vt:i4>1</vt:i4>
      </vt:variant>
    </vt:vector>
  </HeadingPairs>
  <TitlesOfParts>
    <vt:vector size="8" baseType="lpstr">
      <vt:lpstr>한눈에 보기</vt:lpstr>
      <vt:lpstr>작업 관리</vt:lpstr>
      <vt:lpstr>일정</vt:lpstr>
      <vt:lpstr>완료 기준</vt:lpstr>
      <vt:lpstr>이전 완료 이력</vt:lpstr>
      <vt:lpstr>개정 이력</vt:lpstr>
      <vt:lpstr>이번 개정 제외</vt:lpstr>
      <vt:lpstr>'한눈에 보기'!Print_Area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김동혁</cp:lastModifiedBy>
  <dcterms:modified xsi:type="dcterms:W3CDTF">2026-10-29T09:47:45Z</dcterms:modified>
</cp:coreProperties>
</file>