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4f9843221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눈에 보기" sheetId="1" r:id="Rc7cb39ab340249bb"/>
    <x:sheet xmlns:r="http://schemas.openxmlformats.org/officeDocument/2006/relationships" name="작업 관리" sheetId="2" r:id="R5db43e8af6a24f8e"/>
    <x:sheet xmlns:r="http://schemas.openxmlformats.org/officeDocument/2006/relationships" name="일정" sheetId="3" r:id="R229779db467a4a1c"/>
    <x:sheet xmlns:r="http://schemas.openxmlformats.org/officeDocument/2006/relationships" name="완료 기준" sheetId="4" r:id="Rc8692cb185b3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/dd"/>
    <x:numFmt numFmtId="201" formatCode="0%"/>
    <x:numFmt numFmtId="202" formatCode="d"/>
    <x:numFmt numFmtId="203" formatCode=";;;"/>
    <x:numFmt numFmtId="204" formatCode="yyyy-mm-dd"/>
    <x:numFmt numFmtId="205" formatCode="@"/>
  </x:numFmts>
  <x:fonts count="16">
    <x:font>
      <x:sz val="11"/>
      <x:name val="Carlito"/>
    </x:font>
    <x:font>
      <x:sz val="11"/>
      <x:color rgb="FF202B36"/>
      <x:name val="Noto Sans CJK KR"/>
    </x:font>
    <x:font>
      <x:b/>
      <x:sz val="17"/>
      <x:color rgb="FF202B36"/>
      <x:name val="Noto Sans CJK KR"/>
    </x:font>
    <x:font>
      <x:sz val="10"/>
      <x:color rgb="FF647380"/>
      <x:name val="Noto Sans CJK KR"/>
    </x:font>
    <x:font>
      <x:b/>
      <x:sz val="11"/>
      <x:color rgb="FFFFFFFF"/>
      <x:name val="Noto Sans CJK KR"/>
    </x:font>
    <x:font>
      <x:sz val="11"/>
      <x:color rgb="FF647380"/>
      <x:name val="Noto Sans CJK KR"/>
    </x:font>
    <x:font>
      <x:sz val="11"/>
      <x:color rgb="FF6E587B"/>
      <x:name val="Noto Sans CJK KR"/>
    </x:font>
    <x:font>
      <x:sz val="10"/>
      <x:color rgb="FF202B36"/>
      <x:name val="Noto Sans CJK KR"/>
    </x:font>
    <x:font>
      <x:b/>
      <x:sz val="10"/>
      <x:color rgb="FF647380"/>
      <x:name val="Noto Sans CJK KR"/>
    </x:font>
    <x:font>
      <x:b/>
      <x:sz val="17"/>
      <x:color rgb="FF233D55"/>
      <x:name val="Noto Sans CJK KR"/>
    </x:font>
    <x:font>
      <x:b/>
      <x:sz val="11"/>
      <x:color rgb="FF202B36"/>
      <x:name val="Noto Sans CJK KR"/>
    </x:font>
    <x:font>
      <x:sz val="10"/>
      <x:color rgb="FF1F2937"/>
      <x:name val="맑은 고딕"/>
    </x:font>
    <x:font>
      <x:sz val="10"/>
      <x:color rgb="FFFFFFFF"/>
      <x:name val="맑은 고딕"/>
    </x:font>
    <x:font>
      <x:b/>
      <x:sz val="10"/>
      <x:color rgb="FFFFFFFF"/>
      <x:name val="맑은 고딕"/>
    </x:font>
    <x:font>
      <x:sz val="11"/>
      <x:color rgb="FF374151"/>
      <x:name val="맑은 고딕"/>
    </x:font>
    <x:font>
      <x:sz val="11"/>
      <x:color rgb="FF1F2937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233D55"/>
      </x:patternFill>
    </x:fill>
    <x:fill>
      <x:patternFill patternType="solid">
        <x:fgColor rgb="FFF5F7FA"/>
      </x:patternFill>
    </x:fill>
    <x:fill>
      <x:patternFill patternType="solid">
        <x:fgColor rgb="FFFFFAED"/>
      </x:patternFill>
    </x:fill>
    <x:fill>
      <x:patternFill patternType="solid">
        <x:fgColor rgb="FFEDF0F3"/>
      </x:patternFill>
    </x:fill>
    <x:fill>
      <x:patternFill patternType="solid">
        <x:fgColor rgb="FF53616D"/>
      </x:patternFill>
    </x:fill>
    <x:fill>
      <x:patternFill patternType="solid">
        <x:fgColor rgb="FF23415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DCE3E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B9C8D4"/>
      </x:top>
      <x:bottom/>
      <x:diagonal/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4" fillId="2" borderId="4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horizontal="center" vertical="center"/>
    </x:xf>
    <x:xf numFmtId="201" fontId="1" fillId="4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center"/>
    </x:xf>
    <x:xf numFmtId="202" fontId="4" fillId="2" borderId="3" xfId="0" applyNumberFormat="1" applyFont="1" applyFill="1" applyBorder="1" applyAlignment="1">
      <x:alignment horizontal="center" vertical="center" wrapText="0"/>
    </x:xf>
    <x:xf numFmtId="202" fontId="4" fillId="2" borderId="4" xfId="0" applyNumberFormat="1" applyFont="1" applyFill="1" applyBorder="1" applyAlignment="1">
      <x:alignment horizontal="center" vertical="center" wrapText="0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2" fontId="4" fillId="6" borderId="3" xfId="0" applyNumberFormat="1" applyFont="1" applyFill="1" applyBorder="1" applyAlignment="1">
      <x:alignment horizontal="center" vertical="center" wrapText="0"/>
    </x:xf>
    <x:xf numFmtId="0" fontId="9" fillId="3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0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204" fontId="11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205" fontId="1" fillId="0" borderId="5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  <x:xf numFmtId="205" fontId="15" fillId="0" borderId="0" xfId="0" applyNumberFormat="1" applyFont="1" applyFill="1" applyBorder="1" applyAlignment="1">
      <x:alignment vertical="top"/>
    </x:xf>
    <x:xf numFmtId="0" fontId="15" fillId="0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/>
    <x:xf numFmtId="205" fontId="15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wrapText="1"/>
    </x:xf>
    <x:xf numFmtId="205" fontId="15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center" wrapText="1"/>
    </x:xf>
    <x:xf numFmtId="205" fontId="15" fillId="3" borderId="0" xfId="0" applyNumberFormat="1" applyFont="1" applyFill="1" applyBorder="1" applyAlignment="1">
      <x:alignment vertical="top"/>
    </x:xf>
    <x:xf numFmtId="0" fontId="15" fillId="3" borderId="0" xfId="0" applyNumberFormat="1" applyFont="1" applyFill="1" applyBorder="1" applyAlignment="1">
      <x:alignment vertical="top" wrapText="1"/>
    </x:xf>
    <x:xf numFmtId="205" fontId="15" fillId="3" borderId="0" xfId="0" applyNumberFormat="1" applyFont="1" applyFill="1" applyBorder="1" applyAlignment="1">
      <x:alignment vertical="top" wrapText="1"/>
    </x:xf>
    <x:xf numFmtId="205" fontId="15" fillId="3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5" fontId="1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color rgb="FF2C6244"/>
      </x:font>
      <x:fill>
        <x:patternFill>
          <x:bgColor rgb="FFE7F2EC"/>
        </x:patternFill>
      </x:fill>
    </x:dxf>
    <x:dxf>
      <x:font>
        <x:color rgb="FF426B8C"/>
      </x:font>
      <x:fill>
        <x:patternFill>
          <x:bgColor rgb="FFEAF1F7"/>
        </x:patternFill>
      </x:fill>
    </x:dxf>
    <x:dxf>
      <x:font>
        <x:color rgb="FF695284"/>
      </x:font>
      <x:fill>
        <x:patternFill>
          <x:bgColor rgb="FFEDE7F3"/>
        </x:patternFill>
      </x:fill>
    </x:dxf>
    <x:dxf>
      <x:font>
        <x:color rgb="FF45647E"/>
      </x:font>
      <x:fill>
        <x:patternFill>
          <x:bgColor rgb="FFEEF3F8"/>
        </x:patternFill>
      </x:fill>
    </x:dxf>
    <x:dxf>
      <x:font>
        <x:color rgb="FF647380"/>
      </x:font>
      <x:fill>
        <x:patternFill>
          <x:bgColor rgb="FFF0F1F3"/>
        </x:patternFill>
      </x:fill>
    </x:dxf>
    <x:dxf>
      <x:font>
        <x:color rgb="FF9A4139"/>
      </x:font>
      <x:fill>
        <x:patternFill>
          <x:bgColor rgb="FFFCE8E6"/>
        </x:patternFill>
      </x:fill>
    </x:dxf>
    <x:dxf>
      <x:font>
        <x:color rgb="FF647380"/>
      </x:font>
      <x:fill>
        <x:patternFill>
          <x:bgColor rgb="FFF0F1F3"/>
        </x:patternFill>
      </x:fill>
    </x:dxf>
    <x:dxf>
      <x:font>
        <x:b/>
        <x:color rgb="FF9A4139"/>
      </x:font>
      <x:fill>
        <x:patternFill>
          <x:bgColor rgb="FFFCE8E6"/>
        </x:patternFill>
      </x:fill>
    </x:dxf>
    <x:dxf>
      <x:fill>
        <x:patternFill>
          <x:bgColor rgb="FF93AEC4"/>
        </x:patternFill>
      </x:fill>
    </x:dxf>
    <x:dxf>
      <x:fill>
        <x:patternFill>
          <x:bgColor rgb="FF7EA88D"/>
        </x:patternFill>
      </x:fill>
    </x:dxf>
    <x:dxf>
      <x:fill>
        <x:patternFill>
          <x:bgColor rgb="FF8B749D"/>
        </x:patternFill>
      </x:fill>
    </x:dxf>
    <x:dxf>
      <x:font>
        <x:color rgb="FF2C6244"/>
      </x:font>
      <x:fill>
        <x:patternFill>
          <x:bgColor rgb="FFE7F2EC"/>
        </x:patternFill>
      </x:fill>
    </x:dxf>
    <x:dxf>
      <x:font>
        <x:color rgb="FF426B8C"/>
      </x:font>
      <x:fill>
        <x:patternFill>
          <x:bgColor rgb="FFEAF1F7"/>
        </x:patternFill>
      </x:fill>
    </x:dxf>
    <x:dxf>
      <x:font>
        <x:color rgb="FF695284"/>
      </x:font>
      <x:fill>
        <x:patternFill>
          <x:bgColor rgb="FFEDE7F3"/>
        </x:patternFill>
      </x:fill>
    </x:dxf>
    <x:dxf>
      <x:font>
        <x:color rgb="FF45647E"/>
      </x:font>
      <x:fill>
        <x:patternFill>
          <x:bgColor rgb="FFEEF3F8"/>
        </x:patternFill>
      </x:fill>
    </x:dxf>
    <x:dxf>
      <x:font>
        <x:color rgb="FF647380"/>
      </x:font>
      <x:fill>
        <x:patternFill>
          <x:bgColor rgb="FFF0F1F3"/>
        </x:patternFill>
      </x:fill>
    </x:dxf>
    <x:dxf>
      <x:font>
        <x:color rgb="FF9A4139"/>
      </x:font>
      <x:fill>
        <x:patternFill>
          <x:bgColor rgb="FFFCE8E6"/>
        </x:patternFill>
      </x:fill>
    </x:dxf>
    <x:dxf>
      <x:font>
        <x:color rgb="FF647380"/>
      </x:font>
      <x:fill>
        <x:patternFill>
          <x:bgColor rgb="FFF0F1F3"/>
        </x:patternFill>
      </x:fill>
    </x:dxf>
    <x:dxf>
      <x:fill>
        <x:patternFill patternType="solid">
          <x:bgColor rgb="FF9DC3E6"/>
        </x:patternFill>
      </x:fill>
    </x:dxf>
    <x:dxf>
      <x:fill>
        <x:patternFill patternType="solid">
          <x:bgColor rgb="FFA9D18E"/>
        </x:patternFill>
      </x:fill>
    </x:dxf>
    <x:dxf>
      <x:fill>
        <x:patternFill patternType="solid">
          <x:bgColor rgb="FFB4A7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EF2F6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d513e10e24a59" /><Relationship Type="http://schemas.openxmlformats.org/officeDocument/2006/relationships/theme" Target="/xl/theme/theme1.xml" Id="R02b7d128186d43be" /><Relationship Type="http://schemas.openxmlformats.org/officeDocument/2006/relationships/sharedStrings" Target="/xl/sharedStrings.xml" Id="R784ca6dd565d4bd8" /><Relationship Type="http://schemas.openxmlformats.org/officeDocument/2006/relationships/worksheet" Target="/xl/worksheets/sheet1.xml" Id="Rc7cb39ab340249bb" /><Relationship Type="http://schemas.openxmlformats.org/officeDocument/2006/relationships/worksheet" Target="/xl/worksheets/sheet2.xml" Id="R5db43e8af6a24f8e" /><Relationship Type="http://schemas.openxmlformats.org/officeDocument/2006/relationships/worksheet" Target="/xl/worksheets/sheet3.xml" Id="R229779db467a4a1c" /><Relationship Type="http://schemas.openxmlformats.org/officeDocument/2006/relationships/worksheet" Target="/xl/worksheets/sheet4.xml" Id="Rc8692cb185b34f8d" /></Relationships>
</file>

<file path=xl/tables/table1.xml><?xml version="1.0" encoding="utf-8"?>
<x:table xmlns:x="http://schemas.openxmlformats.org/spreadsheetml/2006/main" id="3" name="TasksV1" displayName="TasksV1" ref="A8:J77" headerRowCount="1" totalsRowCount="0" totalsRowShown="0">
  <x:autoFilter ref="A8:J77"/>
  <x:tableColumns count="10">
    <x:tableColumn id="1" name="ID"/>
    <x:tableColumn id="2" name="단계"/>
    <x:tableColumn id="3" name="작업"/>
    <x:tableColumn id="4" name="주담당"/>
    <x:tableColumn id="5" name="시작"/>
    <x:tableColumn id="6" name="마감"/>
    <x:tableColumn id="7" name="상태"/>
    <x:tableColumn id="8" name="진행률"/>
    <x:tableColumn id="9" name="범위"/>
    <x:tableColumn id="10" name="입력 확인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AcceptanceV1" displayName="AcceptanceV1" ref="A8:J77" headerRowCount="1" totalsRowCount="0" totalsRowShown="0">
  <x:autoFilter ref="A8:J77"/>
  <x:tableColumns count="10">
    <x:tableColumn id="1" name="ID"/>
    <x:tableColumn id="2" name="작업"/>
    <x:tableColumn id="3" name="협업"/>
    <x:tableColumn id="4" name="선행 ID"/>
    <x:tableColumn id="5" name="산출물"/>
    <x:tableColumn id="6" name="완료 기준"/>
    <x:tableColumn id="7" name="완료근거"/>
    <x:tableColumn id="8" name="관련 요구사항"/>
    <x:tableColumn id="9" name="관련 기능"/>
    <x:tableColumn id="10" name="미정 질문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801566b95b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d54ffc59e2c46b0" /></Relationships>
</file>

<file path=xl/worksheets/sheet1.xml><?xml version="1.0" encoding="utf-8"?>
<x:worksheet xmlns:x="http://schemas.openxmlformats.org/spreadsheetml/2006/main">
  <x:sheetPr>
    <x:tabColor rgb="FF233D55"/>
  </x:sheetPr>
  <x:sheetViews>
    <x:sheetView showGridLines="0" workbookViewId="0"/>
  </x:sheetViews>
  <x:sheetFormatPr defaultRowHeight="15"/>
  <x:cols>
    <x:col min="1" max="1" width="14" hidden="0" customWidth="1"/>
    <x:col min="2" max="2" width="42.5" hidden="0" customWidth="1"/>
    <x:col min="3" max="3" width="13.5" hidden="0" customWidth="1"/>
    <x:col min="4" max="4" width="11" hidden="0" customWidth="1"/>
    <x:col min="5" max="5" width="14.5" hidden="0" customWidth="1"/>
    <x:col min="6" max="6" width="14" hidden="0" customWidth="1"/>
    <x:col min="7" max="7" width="12.5" hidden="0" customWidth="1"/>
    <x:col min="8" max="8" width="12.5" hidden="0" customWidth="1"/>
  </x:cols>
  <x:sheetData>
    <x:row r="1" ht="14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LoanSight AI WBS v1.1</x:v>
      </x:c>
      <x:c r="B2" s="2"/>
      <x:c r="C2" s="2"/>
      <x:c r="D2" s="2"/>
      <x:c r="E2" s="2"/>
      <x:c r="F2" s="2"/>
      <x:c r="G2" s="2"/>
      <x:c r="H2" s="2"/>
    </x:row>
    <x:row r="3" ht="8" customHeight="1">
      <x:c r="A3" s="4"/>
      <x:c r="B3" s="4"/>
      <x:c r="C3" s="4"/>
      <x:c r="D3" s="4"/>
      <x:c r="E3" s="4"/>
      <x:c r="F3" s="4"/>
      <x:c r="G3" s="4"/>
      <x:c r="H3" s="4"/>
    </x:row>
    <x:row r="4" ht="32" customHeight="1">
      <x:c r="A4" s="67" t="str">
        <x:v>버전</x:v>
      </x:c>
      <x:c r="B4" s="67" t="str">
        <x:v>변경 내용</x:v>
      </x:c>
      <x:c r="C4" s="67" t="str">
        <x:v>개정일</x:v>
      </x:c>
      <x:c r="D4" s="67" t="str">
        <x:v>작성자</x:v>
      </x:c>
      <x:c r="E4" s="67" t="str">
        <x:v>검토·승인자</x:v>
      </x:c>
      <x:c r="F4" s="67" t="str">
        <x:v>상태</x:v>
      </x:c>
      <x:c r="G4" s="2"/>
      <x:c r="H4" s="2"/>
    </x:row>
    <x:row r="5" ht="76" customHeight="1">
      <x:c r="A5" s="64" t="str">
        <x:v>v1.0</x:v>
      </x:c>
      <x:c r="B5" s="64" t="str">
        <x:v>기존 계획 기준 56개 작업과 완료/미확인 상태·일정 정리. 기존 재무나침반 표기를 포함한 원본 보존.</x:v>
      </x:c>
      <x:c r="C5" s="68" t="n">
        <x:v>46316</x:v>
      </x:c>
      <x:c r="D5" s="64" t="str">
        <x:v>김동혁</x:v>
      </x:c>
      <x:c r="E5" s="64" t="str">
        <x:v>미정</x:v>
      </x:c>
      <x:c r="F5" s="64" t="str">
        <x:v>이전본</x:v>
      </x:c>
      <x:c r="G5" s="2"/>
      <x:c r="H5" s="2"/>
    </x:row>
    <x:row r="6" ht="152" customHeight="1">
      <x:c r="A6" s="64" t="str">
        <x:v>v1.1</x:v>
      </x:c>
      <x:c r="B6" s="64" t="str">
        <x:v>LoanSight AI 기획안 v2.0·요구사항 v0.0.4 반영. 기존 56 ID 유지·13 작업 추가. 4개 업종/렌탈 제외·위험 사건 목표·6축 지표/단계·위험 패널·주석 추출/검출 상태 반영. R43/F41/U20 연결.</x:v>
      </x:c>
      <x:c r="C6" s="68" t="n">
        <x:v>46319</x:v>
      </x:c>
      <x:c r="D6" s="64" t="str">
        <x:v>김동혁</x:v>
      </x:c>
      <x:c r="E6" s="64" t="str">
        <x:v>미정</x:v>
      </x:c>
      <x:c r="F6" s="64" t="str">
        <x:v>검토 대기</x:v>
      </x:c>
      <x:c r="G6" s="2"/>
      <x:c r="H6" s="2"/>
    </x:row>
    <x:row r="7" ht="6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20" t="str">
        <x:v>전체 항목</x:v>
      </x:c>
      <x:c r="B8" s="58" t="n">
        <x:f>COUNTA('작업 관리'!$A$9:$A$77)</x:f>
        <x:v>69</x:v>
      </x:c>
      <x:c r="C8" s="20" t="str">
        <x:v>완료 확인</x:v>
      </x:c>
      <x:c r="D8" s="58" t="n">
        <x:f>COUNTIFS('작업 관리'!$J$9:$J$77,"완료 확인")</x:f>
        <x:v>2</x:v>
      </x:c>
      <x:c r="E8" s="20" t="str">
        <x:v>진행 미확인</x:v>
      </x:c>
      <x:c r="F8" s="58" t="n">
        <x:f>COUNTIFS('작업 관리'!$G$9:$G$77,"미확인")</x:f>
        <x:v>41</x:v>
      </x:c>
      <x:c r="G8" s="20" t="str">
        <x:v>예정</x:v>
      </x:c>
      <x:c r="H8" s="58" t="n">
        <x:f>COUNTIFS('작업 관리'!$G$9:$G$77,"예정")</x:f>
        <x:v>26</x:v>
      </x:c>
    </x:row>
    <x:row r="9" ht="26" customHeight="1">
      <x:c r="A9" s="2"/>
      <x:c r="B9" s="2"/>
      <x:c r="C9" s="2"/>
      <x:c r="D9" s="2"/>
      <x:c r="E9" s="2"/>
      <x:c r="F9" s="2"/>
      <x:c r="G9" s="2"/>
      <x:c r="H9" s="2"/>
    </x:row>
    <x:row r="10" ht="26" customHeight="1">
      <x:c r="A10" s="59" t="str">
        <x:v>단계별 계획</x:v>
      </x:c>
      <x:c r="B10" s="2"/>
      <x:c r="C10" s="2"/>
      <x:c r="D10" s="2"/>
      <x:c r="E10" s="2"/>
      <x:c r="F10" s="2"/>
      <x:c r="G10" s="2"/>
      <x:c r="H10" s="2"/>
    </x:row>
    <x:row r="11" ht="31" customHeight="1">
      <x:c r="A11" s="11" t="str">
        <x:v>단계</x:v>
      </x:c>
      <x:c r="B11" s="12" t="str">
        <x:v>핵심 산출물</x:v>
      </x:c>
      <x:c r="C11" s="12" t="str">
        <x:v>필수</x:v>
      </x:c>
      <x:c r="D11" s="12" t="str">
        <x:v>보완</x:v>
      </x:c>
      <x:c r="E11" s="12" t="str">
        <x:v>마일스톤</x:v>
      </x:c>
      <x:c r="F11" s="12" t="str">
        <x:v>완료 확인</x:v>
      </x:c>
      <x:c r="G11" s="12" t="str">
        <x:v>시작</x:v>
      </x:c>
      <x:c r="H11" s="13" t="str">
        <x:v>마감</x:v>
      </x:c>
    </x:row>
    <x:row r="12" ht="46" customHeight="1">
      <x:c r="A12" s="15" t="str">
        <x:v>기획·범위</x:v>
      </x:c>
      <x:c r="B12" s="15" t="str">
        <x:v>기획안·4개 업종·산식·복합 위험 사건/미정 기준</x:v>
      </x:c>
      <x:c r="C12" s="19" t="n">
        <x:f>COUNTIFS('작업 관리'!$B$9:$B$77,$A12,'작업 관리'!$I$9:$I$77,"필수")</x:f>
        <x:v>10</x:v>
      </x:c>
      <x:c r="D12" s="19" t="n">
        <x:f>COUNTIFS('작업 관리'!$B$9:$B$77,$A12,'작업 관리'!$I$9:$I$77,"보완")</x:f>
        <x:v>0</x:v>
      </x:c>
      <x:c r="E12" s="19" t="n">
        <x:f>COUNTIFS('작업 관리'!$B$9:$B$77,$A12,'작업 관리'!$I$9:$I$77,"마일스톤")</x:f>
        <x:v>1</x:v>
      </x:c>
      <x:c r="F12" s="19" t="n">
        <x:f>COUNTIFS('작업 관리'!$B$9:$B$77,$A12,'작업 관리'!$J$9:$J$77,"완료 확인")</x:f>
        <x:v>2</x:v>
      </x:c>
      <x:c r="G12" s="21" t="n">
        <x:f>_xlfn.MINIFS('작업 관리'!$E$9:$E$77,'작업 관리'!$B$9:$B$77,$A12)</x:f>
        <x:v>46316</x:v>
      </x:c>
      <x:c r="H12" s="21" t="n">
        <x:f>_xlfn.MAXIFS('작업 관리'!$F$9:$F$77,'작업 관리'!$B$9:$B$77,$A12)</x:f>
        <x:v>46321</x:v>
      </x:c>
    </x:row>
    <x:row r="13" ht="46" customHeight="1">
      <x:c r="A13" s="16" t="str">
        <x:v>데이터</x:v>
      </x:c>
      <x:c r="B13" s="16" t="str">
        <x:v>재무·주석·위험 사건 이력·계정 확보·검출 상태</x:v>
      </x:c>
      <x:c r="C13" s="20" t="n">
        <x:f>COUNTIFS('작업 관리'!$B$9:$B$77,$A13,'작업 관리'!$I$9:$I$77,"필수")</x:f>
        <x:v>11</x:v>
      </x:c>
      <x:c r="D13" s="20" t="n">
        <x:f>COUNTIFS('작업 관리'!$B$9:$B$77,$A13,'작업 관리'!$I$9:$I$77,"보완")</x:f>
        <x:v>0</x:v>
      </x:c>
      <x:c r="E13" s="20" t="n">
        <x:f>COUNTIFS('작업 관리'!$B$9:$B$77,$A13,'작업 관리'!$I$9:$I$77,"마일스톤")</x:f>
        <x:v>0</x:v>
      </x:c>
      <x:c r="F13" s="20" t="n">
        <x:f>COUNTIFS('작업 관리'!$B$9:$B$77,$A13,'작업 관리'!$J$9:$J$77,"완료 확인")</x:f>
        <x:v>0</x:v>
      </x:c>
      <x:c r="G13" s="22" t="n">
        <x:f>_xlfn.MINIFS('작업 관리'!$E$9:$E$77,'작업 관리'!$B$9:$B$77,$A13)</x:f>
        <x:v>46318</x:v>
      </x:c>
      <x:c r="H13" s="22" t="n">
        <x:f>_xlfn.MAXIFS('작업 관리'!$F$9:$F$77,'작업 관리'!$B$9:$B$77,$A13)</x:f>
        <x:v>46323</x:v>
      </x:c>
    </x:row>
    <x:row r="14" ht="46" customHeight="1">
      <x:c r="A14" s="15" t="str">
        <x:v>분석·화면</x:v>
      </x:c>
      <x:c r="B14" s="15" t="str">
        <x:v>차입/영업순환·직접 입력·업종 변경·위험 패널</x:v>
      </x:c>
      <x:c r="C14" s="19" t="n">
        <x:f>COUNTIFS('작업 관리'!$B$9:$B$77,$A14,'작업 관리'!$I$9:$I$77,"필수")</x:f>
        <x:v>12</x:v>
      </x:c>
      <x:c r="D14" s="19" t="n">
        <x:f>COUNTIFS('작업 관리'!$B$9:$B$77,$A14,'작업 관리'!$I$9:$I$77,"보완")</x:f>
        <x:v>0</x:v>
      </x:c>
      <x:c r="E14" s="19" t="n">
        <x:f>COUNTIFS('작업 관리'!$B$9:$B$77,$A14,'작업 관리'!$I$9:$I$77,"마일스톤")</x:f>
        <x:v>1</x:v>
      </x:c>
      <x:c r="F14" s="19" t="n">
        <x:f>COUNTIFS('작업 관리'!$B$9:$B$77,$A14,'작업 관리'!$J$9:$J$77,"완료 확인")</x:f>
        <x:v>0</x:v>
      </x:c>
      <x:c r="G14" s="21" t="n">
        <x:f>_xlfn.MINIFS('작업 관리'!$E$9:$E$77,'작업 관리'!$B$9:$B$77,$A14)</x:f>
        <x:v>46319</x:v>
      </x:c>
      <x:c r="H14" s="21" t="n">
        <x:f>_xlfn.MAXIFS('작업 관리'!$F$9:$F$77,'작업 관리'!$B$9:$B$77,$A14)</x:f>
        <x:v>46325</x:v>
      </x:c>
    </x:row>
    <x:row r="15" ht="46" customHeight="1">
      <x:c r="A15" s="16" t="str">
        <x:v>AI·뉴스</x:v>
      </x:c>
      <x:c r="B15" s="16" t="str">
        <x:v>공통/업종 추출·정밀도/재현율·근거 요약/뉴스 보완</x:v>
      </x:c>
      <x:c r="C15" s="20" t="n">
        <x:f>COUNTIFS('작업 관리'!$B$9:$B$77,$A15,'작업 관리'!$I$9:$I$77,"필수")</x:f>
        <x:v>7</x:v>
      </x:c>
      <x:c r="D15" s="20" t="n">
        <x:f>COUNTIFS('작업 관리'!$B$9:$B$77,$A15,'작업 관리'!$I$9:$I$77,"보완")</x:f>
        <x:v>3</x:v>
      </x:c>
      <x:c r="E15" s="20" t="n">
        <x:f>COUNTIFS('작업 관리'!$B$9:$B$77,$A15,'작업 관리'!$I$9:$I$77,"마일스톤")</x:f>
        <x:v>1</x:v>
      </x:c>
      <x:c r="F15" s="20" t="n">
        <x:f>COUNTIFS('작업 관리'!$B$9:$B$77,$A15,'작업 관리'!$J$9:$J$77,"완료 확인")</x:f>
        <x:v>0</x:v>
      </x:c>
      <x:c r="G15" s="22" t="n">
        <x:f>_xlfn.MINIFS('작업 관리'!$E$9:$E$77,'작업 관리'!$B$9:$B$77,$A15)</x:f>
        <x:v>46321</x:v>
      </x:c>
      <x:c r="H15" s="22" t="n">
        <x:f>_xlfn.MAXIFS('작업 관리'!$F$9:$F$77,'작업 관리'!$B$9:$B$77,$A15)</x:f>
        <x:v>46325</x:v>
      </x:c>
    </x:row>
    <x:row r="16" ht="46" customHeight="1">
      <x:c r="A16" s="15" t="str">
        <x:v>위험 사건 예측</x:v>
      </x:c>
      <x:c r="B16" s="15" t="str">
        <x:v>12개월 기준/결합 모델 비교·보정·시점 검증</x:v>
      </x:c>
      <x:c r="C16" s="19" t="n">
        <x:f>COUNTIFS('작업 관리'!$B$9:$B$77,$A16,'작업 관리'!$I$9:$I$77,"필수")</x:f>
        <x:v>7</x:v>
      </x:c>
      <x:c r="D16" s="19" t="n">
        <x:f>COUNTIFS('작업 관리'!$B$9:$B$77,$A16,'작업 관리'!$I$9:$I$77,"보완")</x:f>
        <x:v>0</x:v>
      </x:c>
      <x:c r="E16" s="19" t="n">
        <x:f>COUNTIFS('작업 관리'!$B$9:$B$77,$A16,'작업 관리'!$I$9:$I$77,"마일스톤")</x:f>
        <x:v>1</x:v>
      </x:c>
      <x:c r="F16" s="19" t="n">
        <x:f>COUNTIFS('작업 관리'!$B$9:$B$77,$A16,'작업 관리'!$J$9:$J$77,"완료 확인")</x:f>
        <x:v>0</x:v>
      </x:c>
      <x:c r="G16" s="21" t="n">
        <x:f>_xlfn.MINIFS('작업 관리'!$E$9:$E$77,'작업 관리'!$B$9:$B$77,$A16)</x:f>
        <x:v>46321</x:v>
      </x:c>
      <x:c r="H16" s="21" t="n">
        <x:f>_xlfn.MAXIFS('작업 관리'!$F$9:$F$77,'작업 관리'!$B$9:$B$77,$A16)</x:f>
        <x:v>46326</x:v>
      </x:c>
    </x:row>
    <x:row r="17" ht="46" customHeight="1">
      <x:c r="A17" s="16" t="str">
        <x:v>통합·검증</x:v>
      </x:c>
      <x:c r="B17" s="16" t="str">
        <x:v>기능·원문·패널·모델 검수와 사용자 실험</x:v>
      </x:c>
      <x:c r="C17" s="20" t="n">
        <x:f>COUNTIFS('작업 관리'!$B$9:$B$77,$A17,'작업 관리'!$I$9:$I$77,"필수")</x:f>
        <x:v>7</x:v>
      </x:c>
      <x:c r="D17" s="20" t="n">
        <x:f>COUNTIFS('작업 관리'!$B$9:$B$77,$A17,'작업 관리'!$I$9:$I$77,"보완")</x:f>
        <x:v>0</x:v>
      </x:c>
      <x:c r="E17" s="20" t="n">
        <x:f>COUNTIFS('작업 관리'!$B$9:$B$77,$A17,'작업 관리'!$I$9:$I$77,"마일스톤")</x:f>
        <x:v>1</x:v>
      </x:c>
      <x:c r="F17" s="20" t="n">
        <x:f>COUNTIFS('작업 관리'!$B$9:$B$77,$A17,'작업 관리'!$J$9:$J$77,"완료 확인")</x:f>
        <x:v>0</x:v>
      </x:c>
      <x:c r="G17" s="22" t="n">
        <x:f>_xlfn.MINIFS('작업 관리'!$E$9:$E$77,'작업 관리'!$B$9:$B$77,$A17)</x:f>
        <x:v>46326</x:v>
      </x:c>
      <x:c r="H17" s="22" t="n">
        <x:f>_xlfn.MAXIFS('작업 관리'!$F$9:$F$77,'작업 관리'!$B$9:$B$77,$A17)</x:f>
        <x:v>46328</x:v>
      </x:c>
    </x:row>
    <x:row r="18" ht="46" customHeight="1">
      <x:c r="A18" s="15" t="str">
        <x:v>제출·발표</x:v>
      </x:c>
      <x:c r="B18" s="15" t="str">
        <x:v>실행 안내·발표·시연영상·제출</x:v>
      </x:c>
      <x:c r="C18" s="19" t="n">
        <x:f>COUNTIFS('작업 관리'!$B$9:$B$77,$A18,'작업 관리'!$I$9:$I$77,"필수")</x:f>
        <x:v>5</x:v>
      </x:c>
      <x:c r="D18" s="19" t="n">
        <x:f>COUNTIFS('작업 관리'!$B$9:$B$77,$A18,'작업 관리'!$I$9:$I$77,"보완")</x:f>
        <x:v>0</x:v>
      </x:c>
      <x:c r="E18" s="19" t="n">
        <x:f>COUNTIFS('작업 관리'!$B$9:$B$77,$A18,'작업 관리'!$I$9:$I$77,"마일스톤")</x:f>
        <x:v>2</x:v>
      </x:c>
      <x:c r="F18" s="19" t="n">
        <x:f>COUNTIFS('작업 관리'!$B$9:$B$77,$A18,'작업 관리'!$J$9:$J$77,"완료 확인")</x:f>
        <x:v>0</x:v>
      </x:c>
      <x:c r="G18" s="21" t="n">
        <x:f>_xlfn.MINIFS('작업 관리'!$E$9:$E$77,'작업 관리'!$B$9:$B$77,$A18)</x:f>
        <x:v>46329</x:v>
      </x:c>
      <x:c r="H18" s="21" t="n">
        <x:f>_xlfn.MAXIFS('작업 관리'!$F$9:$F$77,'작업 관리'!$B$9:$B$77,$A18)</x:f>
        <x:v>46331</x:v>
      </x:c>
    </x:row>
    <x:row r="19" ht="26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</x:row>
    <x:row r="21" ht="26" customHeight="1">
      <x:c r="A21" s="59" t="str">
        <x:v>주요 마일스톤</x:v>
      </x:c>
      <x:c r="B21" s="2"/>
      <x:c r="C21" s="2"/>
      <x:c r="D21" s="2"/>
      <x:c r="E21" s="2"/>
      <x:c r="F21" s="2"/>
      <x:c r="G21" s="2"/>
      <x:c r="H21" s="2"/>
    </x:row>
    <x:row r="22" ht="31" customHeight="1">
      <x:c r="A22" s="11" t="str">
        <x:v>ID</x:v>
      </x:c>
      <x:c r="B22" s="12" t="str">
        <x:v>마일스톤</x:v>
      </x:c>
      <x:c r="C22" s="12" t="str">
        <x:v>담당</x:v>
      </x:c>
      <x:c r="D22" s="12" t="str">
        <x:v>마감</x:v>
      </x:c>
      <x:c r="E22" s="12" t="str">
        <x:v>상태</x:v>
      </x:c>
      <x:c r="F22" s="12" t="str">
        <x:v>선행 ID</x:v>
      </x:c>
      <x:c r="G22" s="13" t="str">
        <x:v>산출물</x:v>
      </x:c>
      <x:c r="H22" s="2"/>
    </x:row>
    <x:row r="23" ht="42" customHeight="1">
      <x:c r="A23" s="2" t="str">
        <x:v>1.M1</x:v>
      </x:c>
      <x:c r="B23" s="15" t="str">
        <x:f>INDEX('작업 관리'!$C$9:$C$77,MATCH($A23,'작업 관리'!$A$9:$A$77,0))</x:f>
        <x:v>업종·데이터·모델 설계 기준 확정</x:v>
      </x:c>
      <x:c r="C23" s="19" t="str">
        <x:f>INDEX('작업 관리'!$D$9:$D$77,MATCH($A23,'작업 관리'!$A$9:$A$77,0))</x:f>
        <x:v>김동혁</x:v>
      </x:c>
      <x:c r="D23" s="21" t="n">
        <x:f>INDEX('작업 관리'!$F$9:$F$77,MATCH($A23,'작업 관리'!$A$9:$A$77,0))</x:f>
        <x:v>46318</x:v>
      </x:c>
      <x:c r="E23" s="19" t="str">
        <x:f>INDEX('작업 관리'!$G$9:$G$77,MATCH($A23,'작업 관리'!$A$9:$A$77,0))</x:f>
        <x:v>미확인</x:v>
      </x:c>
      <x:c r="F23" s="15" t="str">
        <x:f>INDEX('완료 기준'!$D$9:$D$77,MATCH($A23,'완료 기준'!$A$9:$A$77,0))</x:f>
        <x:v>1.3, 1.5, 1.6, 1.7</x:v>
      </x:c>
      <x:c r="G23" s="15" t="str">
        <x:f>INDEX('완료 기준'!$E$9:$E$77,MATCH($A23,'완료 기준'!$A$9:$A$77,0))</x:f>
        <x:v>1차 범위 결정 기록</x:v>
      </x:c>
      <x:c r="H23" s="2"/>
    </x:row>
    <x:row r="24" ht="42" customHeight="1">
      <x:c r="A24" s="14" t="str">
        <x:v>3.M2</x:v>
      </x:c>
      <x:c r="B24" s="16" t="str">
        <x:f>INDEX('작업 관리'!$C$9:$C$77,MATCH($A24,'작업 관리'!$A$9:$A$77,0))</x:f>
        <x:v>핵심 재무 기능 통합 완료 판단</x:v>
      </x:c>
      <x:c r="C24" s="20" t="str">
        <x:f>INDEX('작업 관리'!$D$9:$D$77,MATCH($A24,'작업 관리'!$A$9:$A$77,0))</x:f>
        <x:v>김동혁</x:v>
      </x:c>
      <x:c r="D24" s="22" t="n">
        <x:f>INDEX('작업 관리'!$F$9:$F$77,MATCH($A24,'작업 관리'!$A$9:$A$77,0))</x:f>
        <x:v>46325</x:v>
      </x:c>
      <x:c r="E24" s="20" t="str">
        <x:f>INDEX('작업 관리'!$G$9:$G$77,MATCH($A24,'작업 관리'!$A$9:$A$77,0))</x:f>
        <x:v>미확인</x:v>
      </x:c>
      <x:c r="F24" s="16" t="str">
        <x:f>INDEX('완료 기준'!$D$9:$D$77,MATCH($A24,'완료 기준'!$A$9:$A$77,0))</x:f>
        <x:v>3.5, 3.7, 2.4, 3.10, 3.11, 3.12</x:v>
      </x:c>
      <x:c r="G24" s="16" t="str">
        <x:f>INDEX('완료 기준'!$E$9:$E$77,MATCH($A24,'완료 기준'!$A$9:$A$77,0))</x:f>
        <x:v>핵심 기능 확인 기록</x:v>
      </x:c>
      <x:c r="H24" s="2"/>
    </x:row>
    <x:row r="25" ht="42" customHeight="1">
      <x:c r="A25" s="2" t="str">
        <x:v>4.M3</x:v>
      </x:c>
      <x:c r="B25" s="15" t="str">
        <x:f>INDEX('작업 관리'!$C$9:$C$77,MATCH($A25,'작업 관리'!$A$9:$A$77,0))</x:f>
        <x:v>주석 요약 검증과 제공 형식 확정</x:v>
      </x:c>
      <x:c r="C25" s="19" t="str">
        <x:f>INDEX('작업 관리'!$D$9:$D$77,MATCH($A25,'작업 관리'!$A$9:$A$77,0))</x:f>
        <x:v>김동혁</x:v>
      </x:c>
      <x:c r="D25" s="21" t="n">
        <x:f>INDEX('작업 관리'!$F$9:$F$77,MATCH($A25,'작업 관리'!$A$9:$A$77,0))</x:f>
        <x:v>46325</x:v>
      </x:c>
      <x:c r="E25" s="19" t="str">
        <x:f>INDEX('작업 관리'!$G$9:$G$77,MATCH($A25,'작업 관리'!$A$9:$A$77,0))</x:f>
        <x:v>미확인</x:v>
      </x:c>
      <x:c r="F25" s="15" t="str">
        <x:f>INDEX('완료 기준'!$D$9:$D$77,MATCH($A25,'완료 기준'!$A$9:$A$77,0))</x:f>
        <x:v>4.5, 4.6, 4.10</x:v>
      </x:c>
      <x:c r="G25" s="15" t="str">
        <x:f>INDEX('완료 기준'!$E$9:$E$77,MATCH($A25,'완료 기준'!$A$9:$A$77,0))</x:f>
        <x:v>주석 검증·제공 형식 기록</x:v>
      </x:c>
      <x:c r="H25" s="2"/>
    </x:row>
    <x:row r="26" ht="42" customHeight="1">
      <x:c r="A26" s="14" t="str">
        <x:v>7.M7</x:v>
      </x:c>
      <x:c r="B26" s="16" t="str">
        <x:f>INDEX('작업 관리'!$C$9:$C$77,MATCH($A26,'작업 관리'!$A$9:$A$77,0))</x:f>
        <x:v>위험 사건 모델·연동 검증 기준 고정</x:v>
      </x:c>
      <x:c r="C26" s="20" t="str">
        <x:f>INDEX('작업 관리'!$D$9:$D$77,MATCH($A26,'작업 관리'!$A$9:$A$77,0))</x:f>
        <x:v>김동혁</x:v>
      </x:c>
      <x:c r="D26" s="22" t="n">
        <x:f>INDEX('작업 관리'!$F$9:$F$77,MATCH($A26,'작업 관리'!$A$9:$A$77,0))</x:f>
        <x:v>46326</x:v>
      </x:c>
      <x:c r="E26" s="20" t="str">
        <x:f>INDEX('작업 관리'!$G$9:$G$77,MATCH($A26,'작업 관리'!$A$9:$A$77,0))</x:f>
        <x:v>예정</x:v>
      </x:c>
      <x:c r="F26" s="16" t="str">
        <x:f>INDEX('완료 기준'!$D$9:$D$77,MATCH($A26,'완료 기준'!$A$9:$A$77,0))</x:f>
        <x:v>7.2, 7.7</x:v>
      </x:c>
      <x:c r="G26" s="16" t="str">
        <x:f>INDEX('완료 기준'!$E$9:$E$77,MATCH($A26,'완료 기준'!$A$9:$A$77,0))</x:f>
        <x:v>검증 모델·연동 기준 버전</x:v>
      </x:c>
      <x:c r="H26" s="2"/>
    </x:row>
    <x:row r="27" ht="42" customHeight="1">
      <x:c r="A27" s="2" t="str">
        <x:v>5.M4</x:v>
      </x:c>
      <x:c r="B27" s="15" t="str">
        <x:f>INDEX('작업 관리'!$C$9:$C$77,MATCH($A27,'작업 관리'!$A$9:$A$77,0))</x:f>
        <x:v>핵심 구현과 검증 마감</x:v>
      </x:c>
      <x:c r="C27" s="19" t="str">
        <x:f>INDEX('작업 관리'!$D$9:$D$77,MATCH($A27,'작업 관리'!$A$9:$A$77,0))</x:f>
        <x:v>김동혁</x:v>
      </x:c>
      <x:c r="D27" s="21" t="n">
        <x:f>INDEX('작업 관리'!$F$9:$F$77,MATCH($A27,'작업 관리'!$A$9:$A$77,0))</x:f>
        <x:v>46328</x:v>
      </x:c>
      <x:c r="E27" s="19" t="str">
        <x:f>INDEX('작업 관리'!$G$9:$G$77,MATCH($A27,'작업 관리'!$A$9:$A$77,0))</x:f>
        <x:v>미확인</x:v>
      </x:c>
      <x:c r="F27" s="15" t="n">
        <x:f>INDEX('완료 기준'!$D$9:$D$77,MATCH($A27,'완료 기준'!$A$9:$A$77,0))</x:f>
        <x:v>5.6</x:v>
      </x:c>
      <x:c r="G27" s="15" t="str">
        <x:f>INDEX('완료 기준'!$E$9:$E$77,MATCH($A27,'완료 기준'!$A$9:$A$77,0))</x:f>
        <x:v>시연 기준 버전</x:v>
      </x:c>
      <x:c r="H27" s="2"/>
    </x:row>
    <x:row r="28" ht="42" customHeight="1">
      <x:c r="A28" s="14" t="str">
        <x:v>6.M5</x:v>
      </x:c>
      <x:c r="B28" s="16" t="str">
        <x:f>INDEX('작업 관리'!$C$9:$C$77,MATCH($A28,'작업 관리'!$A$9:$A$77,0))</x:f>
        <x:v>최종 산출물 제출</x:v>
      </x:c>
      <x:c r="C28" s="20" t="str">
        <x:f>INDEX('작업 관리'!$D$9:$D$77,MATCH($A28,'작업 관리'!$A$9:$A$77,0))</x:f>
        <x:v>김동혁</x:v>
      </x:c>
      <x:c r="D28" s="22" t="n">
        <x:f>INDEX('작업 관리'!$F$9:$F$77,MATCH($A28,'작업 관리'!$A$9:$A$77,0))</x:f>
        <x:v>46331</x:v>
      </x:c>
      <x:c r="E28" s="20" t="str">
        <x:f>INDEX('작업 관리'!$G$9:$G$77,MATCH($A28,'작업 관리'!$A$9:$A$77,0))</x:f>
        <x:v>미확인</x:v>
      </x:c>
      <x:c r="F28" s="16" t="str">
        <x:f>INDEX('완료 기준'!$D$9:$D$77,MATCH($A28,'완료 기준'!$A$9:$A$77,0))</x:f>
        <x:v>6.3, 6.4, 6.5</x:v>
      </x:c>
      <x:c r="G28" s="16" t="str">
        <x:f>INDEX('완료 기준'!$E$9:$E$77,MATCH($A28,'완료 기준'!$A$9:$A$77,0))</x:f>
        <x:v>제출 접수 확인</x:v>
      </x:c>
      <x:c r="H28" s="2"/>
    </x:row>
    <x:row r="29" ht="42" customHeight="1">
      <x:c r="A29" s="2" t="str">
        <x:v>6.M6</x:v>
      </x:c>
      <x:c r="B29" s="15" t="str">
        <x:f>INDEX('작업 관리'!$C$9:$C$77,MATCH($A29,'작업 관리'!$A$9:$A$77,0))</x:f>
        <x:v>프로젝트 발표</x:v>
      </x:c>
      <x:c r="C29" s="19" t="str">
        <x:f>INDEX('작업 관리'!$D$9:$D$77,MATCH($A29,'작업 관리'!$A$9:$A$77,0))</x:f>
        <x:v>오준탁</x:v>
      </x:c>
      <x:c r="D29" s="21" t="n">
        <x:f>INDEX('작업 관리'!$F$9:$F$77,MATCH($A29,'작업 관리'!$A$9:$A$77,0))</x:f>
        <x:v>46331</x:v>
      </x:c>
      <x:c r="E29" s="19" t="str">
        <x:f>INDEX('작업 관리'!$G$9:$G$77,MATCH($A29,'작업 관리'!$A$9:$A$77,0))</x:f>
        <x:v>미확인</x:v>
      </x:c>
      <x:c r="F29" s="15" t="str">
        <x:f>INDEX('완료 기준'!$D$9:$D$77,MATCH($A29,'완료 기준'!$A$9:$A$77,0))</x:f>
        <x:v>6.M5</x:v>
      </x:c>
      <x:c r="G29" s="15" t="str">
        <x:f>INDEX('완료 기준'!$E$9:$E$77,MATCH($A29,'완료 기준'!$A$9:$A$77,0))</x:f>
        <x:v>발표·질의응답 기록</x:v>
      </x:c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 t="str">
        <x:v>문서 기준과 사용 안내</x:v>
      </x:c>
      <x:c r="B32" s="2"/>
      <x:c r="C32" s="2"/>
      <x:c r="D32" s="2"/>
      <x:c r="E32" s="2"/>
      <x:c r="F32" s="2"/>
      <x:c r="G32" s="2"/>
      <x:c r="H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</x:row>
    <x:row r="34" ht="26" customHeight="1">
      <x:c r="A34" s="59" t="str">
        <x:v>기준 문서</x:v>
      </x:c>
      <x:c r="B34" s="2"/>
      <x:c r="C34" s="2"/>
      <x:c r="D34" s="2"/>
      <x:c r="E34" s="2"/>
      <x:c r="F34" s="2"/>
      <x:c r="G34" s="2"/>
      <x:c r="H34" s="2"/>
    </x:row>
    <x:row r="35" ht="64" customHeight="1">
      <x:c r="A35" s="69" t="str">
        <x:v>기획안 v2.0 · 요구사항/PRD/기능명세서 v0.0.4。WBS는 독립 버전 v1.0→v1.1로 개정했다. 기준은 기획안 v2.0, 요구사항/PRD/기능명세서 v0.0.4이며 문서별 버전 숫자를 임의로 통일하지 않는다.</x:v>
      </x:c>
      <x:c r="B35" s="69"/>
      <x:c r="C35" s="69"/>
      <x:c r="D35" s="69"/>
      <x:c r="E35" s="69"/>
      <x:c r="F35" s="69"/>
      <x:c r="G35" s="69"/>
      <x:c r="H35" s="69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</x:row>
    <x:row r="37" ht="26" customHeight="1">
      <x:c r="A37" s="59" t="str">
        <x:v>계획과 실제</x:v>
      </x:c>
      <x:c r="B37" s="2"/>
      <x:c r="C37" s="2"/>
      <x:c r="D37" s="2"/>
      <x:c r="E37" s="2"/>
      <x:c r="F37" s="2"/>
      <x:c r="G37" s="2"/>
      <x:c r="H37" s="2"/>
    </x:row>
    <x:row r="38" ht="64" customHeight="1">
      <x:c r="A38" s="69" t="str">
        <x:v>계획 기간 2026.10.21~11.05, 기획안 제출 11/05 09:00(N-U09 확인 필요)。69개(필수59·뉴스 보완3·마일스톤7)。기존56 ID 유지·13개 추가。완료2는 과거 기획안/발표 초안만 해당, 실제 진척 미확인41·예정26。</x:v>
      </x:c>
      <x:c r="B38" s="69"/>
      <x:c r="C38" s="69"/>
      <x:c r="D38" s="69"/>
      <x:c r="E38" s="69"/>
      <x:c r="F38" s="69"/>
      <x:c r="G38" s="69"/>
      <x:c r="H38" s="69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</x:row>
    <x:row r="40" ht="26" customHeight="1">
      <x:c r="A40" s="59" t="str">
        <x:v>일정·담당 초안</x:v>
      </x:c>
      <x:c r="B40" s="2"/>
      <x:c r="C40" s="2"/>
      <x:c r="D40" s="2"/>
      <x:c r="E40" s="2"/>
      <x:c r="F40" s="2"/>
      <x:c r="G40" s="2"/>
      <x:c r="H40" s="2"/>
    </x:row>
    <x:row r="41" ht="80" customHeight="1">
      <x:c r="A41" s="69" t="str">
        <x:v>원문 기간 창을 분해한 실행 초안이다. 기존 시작/종료·주담당·상태·진행률·완료근거를 보존하고 7.3만 업종 추출 선행조건에 맞춰 10/28 시작으로 조정했다. 같은 날 선행/후속은 당일 인수인계 전제。과거 미확인 항목은 팀 재확인이 필요하다. 개인별 공수·백업·최종 승인자는 미정。</x:v>
      </x:c>
      <x:c r="B41" s="69"/>
      <x:c r="C41" s="69"/>
      <x:c r="D41" s="69"/>
      <x:c r="E41" s="69"/>
      <x:c r="F41" s="69"/>
      <x:c r="G41" s="69"/>
      <x:c r="H41" s="69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</x:row>
    <x:row r="43" ht="26" customHeight="1">
      <x:c r="A43" s="59" t="str">
        <x:v>범위·충돌 처리</x:v>
      </x:c>
      <x:c r="B43" s="2"/>
      <x:c r="C43" s="2"/>
      <x:c r="D43" s="2"/>
      <x:c r="E43" s="2"/>
      <x:c r="F43" s="2"/>
      <x:c r="G43" s="2"/>
      <x:c r="H43" s="2"/>
    </x:row>
    <x:row r="44" ht="64" customHeight="1">
      <x:c r="A44" s="69" t="str">
        <x:v>제조·건설·도소매·부동산 임대 4개, 장비/물품 렌탈 제외。충돌 시 요구사항의 10/23 팀 결정을 우선한다. 기능15/정답지5는 논의 필요。추출40개사 인용·계정 점검 업종별5이상·모델 표본을 구분한다.</x:v>
      </x:c>
      <x:c r="B44" s="69"/>
      <x:c r="C44" s="69"/>
      <x:c r="D44" s="69"/>
      <x:c r="E44" s="69"/>
      <x:c r="F44" s="69"/>
      <x:c r="G44" s="69"/>
      <x:c r="H44" s="69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</x:row>
    <x:row r="46" ht="26" customHeight="1">
      <x:c r="A46" s="59" t="str">
        <x:v>결정·검증</x:v>
      </x:c>
      <x:c r="B46" s="2"/>
      <x:c r="C46" s="2"/>
      <x:c r="D46" s="2"/>
      <x:c r="E46" s="2"/>
      <x:c r="F46" s="2"/>
      <x:c r="G46" s="2"/>
      <x:c r="H46" s="2"/>
    </x:row>
    <x:row r="47" ht="64" customHeight="1">
      <x:c r="A47" s="69" t="str">
        <x:v>수치 임계값은 팀 가설이며 현직자 확인 전이다. 규칙 단계/모델 확률/담당자 체크는 분리한다. 검출/공시상 없음/미검출/추출 실패를 구분한다. 확장 N-R31/N-F28~29는 1.9/6.1의 범위 기록이며 개발 실행/완료로 세지 않는다.</x:v>
      </x:c>
      <x:c r="B47" s="69"/>
      <x:c r="C47" s="69"/>
      <x:c r="D47" s="69"/>
      <x:c r="E47" s="69"/>
      <x:c r="F47" s="69"/>
      <x:c r="G47" s="69"/>
      <x:c r="H47" s="69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</x:row>
    <x:row r="49" ht="26" customHeight="1">
      <x:c r="A49" s="59" t="str">
        <x:v>표 사용</x:v>
      </x:c>
      <x:c r="B49" s="2"/>
      <x:c r="C49" s="2"/>
      <x:c r="D49" s="2"/>
      <x:c r="E49" s="2"/>
      <x:c r="F49" s="2"/>
      <x:c r="G49" s="2"/>
      <x:c r="H49" s="2"/>
    </x:row>
    <x:row r="50" ht="64" customHeight="1">
      <x:c r="A50" s="69" t="str">
        <x:v>작업 관리에 실제 상태·진행률을 입력하고 완료 기준에 근거를 남긴다. 완료 상태+100%+근거가 모두 있어야 완료 확인으로 집계한다. 완료 기준 오른쪽에 R(요구사항)/F(기능)/U(미정 질문) 연결을 둔다.</x:v>
      </x:c>
      <x:c r="B50" s="69"/>
      <x:c r="C50" s="69"/>
      <x:c r="D50" s="69"/>
      <x:c r="E50" s="69"/>
      <x:c r="F50" s="69"/>
      <x:c r="G50" s="69"/>
      <x:c r="H50" s="69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</x:row>
    <x:row r="52" ht="26" customHeight="1">
      <x:c r="A52" s="59" t="str">
        <x:v>원문 경로</x:v>
      </x:c>
      <x:c r="B52" s="2"/>
      <x:c r="C52" s="2"/>
      <x:c r="D52" s="2"/>
      <x:c r="E52" s="2"/>
      <x:c r="F52" s="2"/>
      <x:c r="G52" s="2"/>
      <x:c r="H52" s="2"/>
    </x:row>
    <x:row r="53" ht="118" customHeight="1">
      <x:c r="A53" s="69" t="str">
        <x:v>C:\Users\kdh80\Desktop\KB-Bridge\최종 Project\Slack_첨부파일_2026-10-24\LoanSight_AI_기획안_v2.0.docx
C:\Users\kdh80\Desktop\KB-Bridge\최종 Project\Slack_첨부파일_2026-10-24\LoanSight AI_요구사항정의서_v0.0.4_261023.xlsx
C:\Users\kdh80\Desktop\KB-Bridge\최종 Project\docs\PRD\LoanSight AI_PRD_v0.0.4_261024_김동혁.docx
C:\Users\kdh80\Desktop\KB-Bridge\최종 Project\docs\functional-specification\LoanSight AI_기능명세서_v0.0.4_261024.xlsx</x:v>
      </x:c>
      <x:c r="B53" s="69"/>
      <x:c r="C53" s="69"/>
      <x:c r="D53" s="69"/>
      <x:c r="E53" s="69"/>
      <x:c r="F53" s="69"/>
      <x:c r="G53" s="69"/>
      <x:c r="H53" s="69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</x:row>
    <x:row r="55" ht="26" customHeight="1">
      <x:c r="A55" s="59" t="str">
        <x:v>원문 SHA256</x:v>
      </x:c>
      <x:c r="B55" s="2"/>
      <x:c r="C55" s="2"/>
      <x:c r="D55" s="2"/>
      <x:c r="E55" s="2"/>
      <x:c r="F55" s="2"/>
      <x:c r="G55" s="2"/>
      <x:c r="H55" s="2"/>
    </x:row>
    <x:row r="56" ht="64" customHeight="1">
      <x:c r="A56" s="69" t="str">
        <x:v>기획안: fd0717b81e562166248006c3789d0b6f76dd888fa085ca70ae771f3731ab2715
요구사항: c788fdcccfd3d867a1f1812ed4bbe883d05b56afa52d91e650ea23f10582983c</x:v>
      </x:c>
      <x:c r="B56" s="69"/>
      <x:c r="C56" s="69"/>
      <x:c r="D56" s="69"/>
      <x:c r="E56" s="69"/>
      <x:c r="F56" s="69"/>
      <x:c r="G56" s="69"/>
      <x:c r="H56" s="69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</x:row>
    <x:row r="58" ht="26" customHeight="1">
      <x:c r="A58" s="2"/>
      <x:c r="B58" s="2"/>
      <x:c r="C58" s="2"/>
      <x:c r="D58" s="2"/>
      <x:c r="E58" s="2"/>
      <x:c r="F58" s="2"/>
      <x:c r="G58" s="2"/>
      <x:c r="H58" s="2"/>
    </x:row>
    <x:row r="59" ht="26" customHeight="1">
      <x:c r="A59" s="2"/>
      <x:c r="B59" s="2"/>
      <x:c r="C59" s="2"/>
      <x:c r="D59" s="2"/>
      <x:c r="E59" s="2"/>
      <x:c r="F59" s="2"/>
      <x:c r="G59" s="2"/>
      <x:c r="H59" s="2"/>
    </x:row>
    <x:row r="60" ht="26" customHeight="1">
      <x:c r="A60" s="2"/>
      <x:c r="B60" s="2"/>
      <x:c r="C60" s="2"/>
      <x:c r="D60" s="2"/>
      <x:c r="E60" s="2"/>
      <x:c r="F60" s="2"/>
      <x:c r="G60" s="2"/>
      <x:c r="H60" s="2"/>
    </x:row>
    <x:row r="61" ht="26" customHeight="1">
      <x:c r="A61" s="2"/>
      <x:c r="B61" s="2"/>
      <x:c r="C61" s="2"/>
      <x:c r="D61" s="2"/>
      <x:c r="E61" s="2"/>
      <x:c r="F61" s="2"/>
      <x:c r="G61" s="2"/>
      <x:c r="H61" s="2"/>
    </x:row>
    <x:row r="62" ht="26" customHeight="1">
      <x:c r="A62" s="2"/>
      <x:c r="B62" s="2"/>
      <x:c r="C62" s="2"/>
      <x:c r="D62" s="2"/>
      <x:c r="E62" s="2"/>
      <x:c r="F62" s="2"/>
      <x:c r="G62" s="2"/>
      <x:c r="H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</x:row>
  </x:sheetData>
  <x:mergeCells>
    <x:mergeCell ref="A34:H34"/>
    <x:mergeCell ref="A35:H35"/>
    <x:mergeCell ref="A37:H37"/>
    <x:mergeCell ref="A38:H38"/>
    <x:mergeCell ref="A40:H40"/>
    <x:mergeCell ref="A41:H41"/>
    <x:mergeCell ref="A43:H43"/>
    <x:mergeCell ref="A44:H44"/>
    <x:mergeCell ref="A46:H46"/>
    <x:mergeCell ref="A47:H47"/>
    <x:mergeCell ref="A49:H49"/>
    <x:mergeCell ref="A50:H50"/>
    <x:mergeCell ref="A52:H52"/>
    <x:mergeCell ref="A53:H53"/>
    <x:mergeCell ref="A55:H55"/>
    <x:mergeCell ref="A56:H56"/>
  </x:mergeCells>
  <x:conditionalFormatting sqref="E23:E29">
    <x:cfRule type="expression" dxfId="11" priority="1">
      <x:formula>$E23="완료"</x:formula>
    </x:cfRule>
    <x:cfRule type="expression" dxfId="12" priority="2">
      <x:formula>$E23="진행중"</x:formula>
    </x:cfRule>
    <x:cfRule type="expression" dxfId="13" priority="3">
      <x:formula>$E23="검토중"</x:formula>
    </x:cfRule>
    <x:cfRule type="expression" dxfId="14" priority="4">
      <x:formula>$E23="예정"</x:formula>
    </x:cfRule>
    <x:cfRule type="expression" dxfId="15" priority="5">
      <x:formula>$E23="미확인"</x:formula>
    </x:cfRule>
    <x:cfRule type="expression" dxfId="16" priority="6">
      <x:formula>$E23="보류"</x:formula>
    </x:cfRule>
    <x:cfRule type="expression" dxfId="17" priority="7">
      <x:formula>$E23="제외"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26B8C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7.75" hidden="0" customWidth="1"/>
    <x:col min="2" max="2" width="17" hidden="0" customWidth="1"/>
    <x:col min="3" max="3" width="42" hidden="0" customWidth="1"/>
    <x:col min="4" max="4" width="9.75" hidden="0" customWidth="1"/>
    <x:col min="5" max="5" width="10" hidden="0" customWidth="1"/>
    <x:col min="6" max="6" width="10" hidden="0" customWidth="1"/>
    <x:col min="7" max="7" width="10.25" hidden="0" customWidth="1"/>
    <x:col min="8" max="8" width="9" hidden="0" customWidth="1"/>
    <x:col min="9" max="9" width="10.25" hidden="0" customWidth="1"/>
    <x:col min="10" max="10" width="16.8799991607666" hidden="0" customWidth="1"/>
  </x:cols>
  <x:sheetData>
    <x:row r="1" ht="1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3" t="str">
        <x:v>LoanSight AI 작업 관리 v1.1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15" customHeight="1">
      <x:c r="A4" s="6" t="str">
        <x:v>상태·진행률은 실제 확인값만 입력합니다. 완료는 진행률 100%와 완료근거를 함께 기록합니다.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15" customHeight="1">
      <x:c r="A5" s="6" t="str">
        <x:v>기준: 기획안 v2.0·요구사항 v0.0.4。69개 작업。주담당·세부 날짜는 실행 초안, 미확인은 실제 진척 미확인。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15" customHeight="1">
      <x:c r="A6" s="6" t="str">
        <x:v>같은 날의 선행·후속 작업은 당일 인수인계를 전제로 합니다. 마감일만으로 완료 처리하지 않습니다.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1" customHeight="1">
      <x:c r="A8" s="11" t="str">
        <x:v>ID</x:v>
      </x:c>
      <x:c r="B8" s="12" t="str">
        <x:v>단계</x:v>
      </x:c>
      <x:c r="C8" s="12" t="str">
        <x:v>작업</x:v>
      </x:c>
      <x:c r="D8" s="12" t="str">
        <x:v>주담당</x:v>
      </x:c>
      <x:c r="E8" s="12" t="str">
        <x:v>시작</x:v>
      </x:c>
      <x:c r="F8" s="12" t="str">
        <x:v>마감</x:v>
      </x:c>
      <x:c r="G8" s="12" t="str">
        <x:v>상태</x:v>
      </x:c>
      <x:c r="H8" s="12" t="str">
        <x:v>진행률</x:v>
      </x:c>
      <x:c r="I8" s="12" t="str">
        <x:v>범위</x:v>
      </x:c>
      <x:c r="J8" s="13" t="str">
        <x:v>입력 확인</x:v>
      </x:c>
    </x:row>
    <x:row r="9" ht="48" customHeight="1">
      <x:c r="A9" s="70" t="str">
        <x:v>1.1</x:v>
      </x:c>
      <x:c r="B9" s="73" t="str">
        <x:v>기획·범위</x:v>
      </x:c>
      <x:c r="C9" s="29" t="str">
        <x:v>기획안 v1.0 확정본 정리</x:v>
      </x:c>
      <x:c r="D9" s="30" t="str">
        <x:v>김동혁</x:v>
      </x:c>
      <x:c r="E9" s="31" t="d">
        <x:v>2026-10-21T00:00:00.000Z</x:v>
      </x:c>
      <x:c r="F9" s="31" t="d">
        <x:v>2026-10-21T00:00:00.000Z</x:v>
      </x:c>
      <x:c r="G9" s="32" t="str">
        <x:v>완료</x:v>
      </x:c>
      <x:c r="H9" s="33" t="n">
        <x:v>1</x:v>
      </x:c>
      <x:c r="I9" s="30" t="str">
        <x:v>필수</x:v>
      </x:c>
      <x:c r="J9" s="42" t="str">
        <x:f>IF(G9="완료",IF(H9&lt;&gt;1,"진행률 확인",IF(COUNTBLANK(INDEX('완료 기준'!$G$9:$G$77,MATCH($A9,'완료 기준'!$A$9:$A$77,0)))&gt;0,"완료근거 필요","완료 확인")),"")</x:f>
        <x:v>완료 확인</x:v>
      </x:c>
    </x:row>
    <x:row r="10" ht="48" customHeight="1">
      <x:c r="A10" s="83" t="str">
        <x:v>1.2</x:v>
      </x:c>
      <x:c r="B10" s="85" t="str">
        <x:v>기획·범위</x:v>
      </x:c>
      <x:c r="C10" s="16" t="str">
        <x:v>기획 발표자료 v0.2 초안 보존</x:v>
      </x:c>
      <x:c r="D10" s="20" t="str">
        <x:v>오준탁</x:v>
      </x:c>
      <x:c r="E10" s="22" t="d">
        <x:v>2026-10-21T00:00:00.000Z</x:v>
      </x:c>
      <x:c r="F10" s="22" t="d">
        <x:v>2026-10-21T00:00:00.000Z</x:v>
      </x:c>
      <x:c r="G10" s="25" t="str">
        <x:v>완료</x:v>
      </x:c>
      <x:c r="H10" s="26" t="n">
        <x:v>1</x:v>
      </x:c>
      <x:c r="I10" s="20" t="str">
        <x:v>필수</x:v>
      </x:c>
      <x:c r="J10" s="43" t="str">
        <x:f>IF(G10="완료",IF(H10&lt;&gt;1,"진행률 확인",IF(COUNTBLANK(INDEX('완료 기준'!$G$9:$G$77,MATCH($A10,'완료 기준'!$A$9:$A$77,0)))&gt;0,"완료근거 필요","완료 확인")),"")</x:f>
        <x:v>완료 확인</x:v>
      </x:c>
    </x:row>
    <x:row r="11" ht="48" customHeight="1">
      <x:c r="A11" s="72" t="str">
        <x:v>1.3</x:v>
      </x:c>
      <x:c r="B11" s="91" t="str">
        <x:v>기획·범위</x:v>
      </x:c>
      <x:c r="C11" s="15" t="str">
        <x:v>범위와 역할 분담 합의</x:v>
      </x:c>
      <x:c r="D11" s="19" t="str">
        <x:v>김동혁</x:v>
      </x:c>
      <x:c r="E11" s="21" t="d">
        <x:v>2026-10-22T00:00:00.000Z</x:v>
      </x:c>
      <x:c r="F11" s="21" t="d">
        <x:v>2026-10-22T00:00:00.000Z</x:v>
      </x:c>
      <x:c r="G11" s="25" t="str">
        <x:v>미확인</x:v>
      </x:c>
      <x:c r="H11" s="26"/>
      <x:c r="I11" s="19" t="str">
        <x:v>필수</x:v>
      </x:c>
      <x:c r="J11" s="44" t="str">
        <x:f>IF(G11="완료",IF(H11&lt;&gt;1,"진행률 확인",IF(COUNTBLANK(INDEX('완료 기준'!$G$9:$G$77,MATCH($A11,'완료 기준'!$A$9:$A$77,0)))&gt;0,"완료근거 필요","완료 확인")),"")</x:f>
      </x:c>
    </x:row>
    <x:row r="12" ht="48" customHeight="1">
      <x:c r="A12" s="83" t="str">
        <x:v>1.4</x:v>
      </x:c>
      <x:c r="B12" s="85" t="str">
        <x:v>기획·범위</x:v>
      </x:c>
      <x:c r="C12" s="16" t="str">
        <x:v>확정 4개 업종과 수집 범위 점검</x:v>
      </x:c>
      <x:c r="D12" s="20" t="str">
        <x:v>김동민</x:v>
      </x:c>
      <x:c r="E12" s="22" t="d">
        <x:v>2026-10-22T00:00:00.000Z</x:v>
      </x:c>
      <x:c r="F12" s="22" t="d">
        <x:v>2026-10-23T00:00:00.000Z</x:v>
      </x:c>
      <x:c r="G12" s="25" t="str">
        <x:v>미확인</x:v>
      </x:c>
      <x:c r="H12" s="26"/>
      <x:c r="I12" s="20" t="str">
        <x:v>필수</x:v>
      </x:c>
      <x:c r="J12" s="43" t="str">
        <x:f>IF(G12="완료",IF(H12&lt;&gt;1,"진행률 확인",IF(COUNTBLANK(INDEX('완료 기준'!$G$9:$G$77,MATCH($A12,'완료 기준'!$A$9:$A$77,0)))&gt;0,"완료근거 필요","완료 확인")),"")</x:f>
      </x:c>
    </x:row>
    <x:row r="13" ht="48" customHeight="1">
      <x:c r="A13" s="72" t="str">
        <x:v>1.6</x:v>
      </x:c>
      <x:c r="B13" s="91" t="str">
        <x:v>기획·범위</x:v>
      </x:c>
      <x:c r="C13" s="15" t="str">
        <x:v>재무비율·계정·업종 계산 기준 정의</x:v>
      </x:c>
      <x:c r="D13" s="19" t="str">
        <x:v>오준탁</x:v>
      </x:c>
      <x:c r="E13" s="21" t="d">
        <x:v>2026-10-22T00:00:00.000Z</x:v>
      </x:c>
      <x:c r="F13" s="21" t="d">
        <x:v>2026-10-23T00:00:00.000Z</x:v>
      </x:c>
      <x:c r="G13" s="25" t="str">
        <x:v>미확인</x:v>
      </x:c>
      <x:c r="H13" s="26"/>
      <x:c r="I13" s="19" t="str">
        <x:v>필수</x:v>
      </x:c>
      <x:c r="J13" s="44" t="str">
        <x:f>IF(G13="완료",IF(H13&lt;&gt;1,"진행률 확인",IF(COUNTBLANK(INDEX('완료 기준'!$G$9:$G$77,MATCH($A13,'완료 기준'!$A$9:$A$77,0)))&gt;0,"완료근거 필요","완료 확인")),"")</x:f>
      </x:c>
    </x:row>
    <x:row r="14" ht="48" customHeight="1">
      <x:c r="A14" s="83" t="str">
        <x:v>1.7</x:v>
      </x:c>
      <x:c r="B14" s="85" t="str">
        <x:v>기획·범위</x:v>
      </x:c>
      <x:c r="C14" s="16" t="str">
        <x:v>상환·연체 위험 사건과 12개월 라벨 정의</x:v>
      </x:c>
      <x:c r="D14" s="20" t="str">
        <x:v>김동혁</x:v>
      </x:c>
      <x:c r="E14" s="22" t="d">
        <x:v>2026-10-22T00:00:00.000Z</x:v>
      </x:c>
      <x:c r="F14" s="22" t="d">
        <x:v>2026-10-23T00:00:00.000Z</x:v>
      </x:c>
      <x:c r="G14" s="25" t="str">
        <x:v>미확인</x:v>
      </x:c>
      <x:c r="H14" s="26"/>
      <x:c r="I14" s="20" t="str">
        <x:v>필수</x:v>
      </x:c>
      <x:c r="J14" s="43" t="str">
        <x:f>IF(G14="완료",IF(H14&lt;&gt;1,"진행률 확인",IF(COUNTBLANK(INDEX('완료 기준'!$G$9:$G$77,MATCH($A14,'완료 기준'!$A$9:$A$77,0)))&gt;0,"완료근거 필요","완료 확인")),"")</x:f>
      </x:c>
    </x:row>
    <x:row r="15" ht="48" customHeight="1">
      <x:c r="A15" s="72" t="str">
        <x:v>1.8</x:v>
      </x:c>
      <x:c r="B15" s="91" t="str">
        <x:v>기획·범위</x:v>
      </x:c>
      <x:c r="C15" s="15" t="str">
        <x:v>기획 발표자료에 최신 범위 반영</x:v>
      </x:c>
      <x:c r="D15" s="19" t="str">
        <x:v>오준탁</x:v>
      </x:c>
      <x:c r="E15" s="21" t="d">
        <x:v>2026-10-22T00:00:00.000Z</x:v>
      </x:c>
      <x:c r="F15" s="21" t="d">
        <x:v>2026-10-23T00:00:00.000Z</x:v>
      </x:c>
      <x:c r="G15" s="25" t="str">
        <x:v>예정</x:v>
      </x:c>
      <x:c r="H15" s="26"/>
      <x:c r="I15" s="19" t="str">
        <x:v>필수</x:v>
      </x:c>
      <x:c r="J15" s="44" t="str">
        <x:f>IF(G15="완료",IF(H15&lt;&gt;1,"진행률 확인",IF(COUNTBLANK(INDEX('완료 기준'!$G$9:$G$77,MATCH($A15,'완료 기준'!$A$9:$A$77,0)))&gt;0,"완료근거 필요","완료 확인")),"")</x:f>
      </x:c>
    </x:row>
    <x:row r="16" ht="48" customHeight="1">
      <x:c r="A16" s="83" t="str">
        <x:v>1.5</x:v>
      </x:c>
      <x:c r="B16" s="85" t="str">
        <x:v>기획·범위</x:v>
      </x:c>
      <x:c r="C16" s="16" t="str">
        <x:v>기능 검증·원문 정답지 표본 선정</x:v>
      </x:c>
      <x:c r="D16" s="20" t="str">
        <x:v>최수인</x:v>
      </x:c>
      <x:c r="E16" s="22" t="d">
        <x:v>2026-10-23T00:00:00.000Z</x:v>
      </x:c>
      <x:c r="F16" s="22" t="d">
        <x:v>2026-10-23T00:00:00.000Z</x:v>
      </x:c>
      <x:c r="G16" s="25" t="str">
        <x:v>미확인</x:v>
      </x:c>
      <x:c r="H16" s="26"/>
      <x:c r="I16" s="20" t="str">
        <x:v>필수</x:v>
      </x:c>
      <x:c r="J16" s="43" t="str">
        <x:f>IF(G16="완료",IF(H16&lt;&gt;1,"진행률 확인",IF(COUNTBLANK(INDEX('완료 기준'!$G$9:$G$77,MATCH($A16,'완료 기준'!$A$9:$A$77,0)))&gt;0,"완료근거 필요","완료 확인")),"")</x:f>
      </x:c>
    </x:row>
    <x:row r="17" ht="48" customHeight="1">
      <x:c r="A17" s="72" t="str">
        <x:v>1.M1</x:v>
      </x:c>
      <x:c r="B17" s="91" t="str">
        <x:v>기획·범위</x:v>
      </x:c>
      <x:c r="C17" s="15" t="str">
        <x:v>업종·데이터·모델 설계 기준 확정</x:v>
      </x:c>
      <x:c r="D17" s="19" t="str">
        <x:v>김동혁</x:v>
      </x:c>
      <x:c r="E17" s="21" t="d">
        <x:v>2026-10-23T00:00:00.000Z</x:v>
      </x:c>
      <x:c r="F17" s="21" t="d">
        <x:v>2026-10-23T00:00:00.000Z</x:v>
      </x:c>
      <x:c r="G17" s="25" t="str">
        <x:v>미확인</x:v>
      </x:c>
      <x:c r="H17" s="26"/>
      <x:c r="I17" s="19" t="str">
        <x:v>마일스톤</x:v>
      </x:c>
      <x:c r="J17" s="44" t="str">
        <x:f>IF(G17="완료",IF(H17&lt;&gt;1,"진행률 확인",IF(COUNTBLANK(INDEX('완료 기준'!$G$9:$G$77,MATCH($A17,'완료 기준'!$A$9:$A$77,0)))&gt;0,"완료근거 필요","완료 확인")),"")</x:f>
      </x:c>
    </x:row>
    <x:row r="18" ht="48" customHeight="1">
      <x:c r="A18" s="92" t="str">
        <x:v>1.9</x:v>
      </x:c>
      <x:c r="B18" s="93" t="str">
        <x:v>기획·범위</x:v>
      </x:c>
      <x:c r="C18" s="36" t="str">
        <x:v>v2.0·v0.0.4 변경 및 미정 의사결정 정리</x:v>
      </x:c>
      <x:c r="D18" s="37" t="str">
        <x:v>김동혁</x:v>
      </x:c>
      <x:c r="E18" s="38" t="d">
        <x:v>2026-10-24T00:00:00.000Z</x:v>
      </x:c>
      <x:c r="F18" s="38" t="d">
        <x:v>2026-10-24T00:00:00.000Z</x:v>
      </x:c>
      <x:c r="G18" s="32" t="str">
        <x:v>예정</x:v>
      </x:c>
      <x:c r="H18" s="33"/>
      <x:c r="I18" s="37" t="str">
        <x:v>필수</x:v>
      </x:c>
      <x:c r="J18" s="45" t="str">
        <x:f>IF(G18="완료",IF(H18&lt;&gt;1,"진행률 확인",IF(COUNTBLANK(INDEX('완료 기준'!$G$9:$G$77,MATCH($A18,'완료 기준'!$A$9:$A$77,0)))&gt;0,"완료근거 필요","완료 확인")),"")</x:f>
      </x:c>
    </x:row>
    <x:row r="19" ht="48" customHeight="1">
      <x:c r="A19" s="72" t="str">
        <x:v>1.10</x:v>
      </x:c>
      <x:c r="B19" s="91" t="str">
        <x:v>기획·범위</x:v>
      </x:c>
      <x:c r="C19" s="15" t="str">
        <x:v>6개 판단 축·업종 지표·단계 가설 검토</x:v>
      </x:c>
      <x:c r="D19" s="19" t="str">
        <x:v>오준탁</x:v>
      </x:c>
      <x:c r="E19" s="21" t="d">
        <x:v>2026-10-24T00:00:00.000Z</x:v>
      </x:c>
      <x:c r="F19" s="21" t="d">
        <x:v>2026-10-26T00:00:00.000Z</x:v>
      </x:c>
      <x:c r="G19" s="25" t="str">
        <x:v>예정</x:v>
      </x:c>
      <x:c r="H19" s="26"/>
      <x:c r="I19" s="19" t="str">
        <x:v>필수</x:v>
      </x:c>
      <x:c r="J19" s="44" t="str">
        <x:f>IF(G19="완료",IF(H19&lt;&gt;1,"진행률 확인",IF(COUNTBLANK(INDEX('완료 기준'!$G$9:$G$77,MATCH($A19,'완료 기준'!$A$9:$A$77,0)))&gt;0,"완료근거 필요","완료 확인")),"")</x:f>
      </x:c>
    </x:row>
    <x:row r="20" ht="48" customHeight="1">
      <x:c r="A20" s="83" t="str">
        <x:v>2.7</x:v>
      </x:c>
      <x:c r="B20" s="85" t="str">
        <x:v>데이터</x:v>
      </x:c>
      <x:c r="C20" s="16" t="str">
        <x:v>위험 사건 이력 수집과 원문 대조</x:v>
      </x:c>
      <x:c r="D20" s="20" t="str">
        <x:v>김동혁</x:v>
      </x:c>
      <x:c r="E20" s="22" t="d">
        <x:v>2026-10-23T00:00:00.000Z</x:v>
      </x:c>
      <x:c r="F20" s="22" t="d">
        <x:v>2026-10-24T00:00:00.000Z</x:v>
      </x:c>
      <x:c r="G20" s="25" t="str">
        <x:v>예정</x:v>
      </x:c>
      <x:c r="H20" s="26"/>
      <x:c r="I20" s="20" t="str">
        <x:v>필수</x:v>
      </x:c>
      <x:c r="J20" s="43" t="str">
        <x:f>IF(G20="완료",IF(H20&lt;&gt;1,"진행률 확인",IF(COUNTBLANK(INDEX('완료 기준'!$G$9:$G$77,MATCH($A20,'완료 기준'!$A$9:$A$77,0)))&gt;0,"완료근거 필요","완료 확인")),"")</x:f>
      </x:c>
    </x:row>
    <x:row r="21" ht="48" customHeight="1">
      <x:c r="A21" s="72" t="str">
        <x:v>2.1</x:v>
      </x:c>
      <x:c r="B21" s="91" t="str">
        <x:v>데이터</x:v>
      </x:c>
      <x:c r="C21" s="15" t="str">
        <x:v>재무·공시 수집과 출처 저장</x:v>
      </x:c>
      <x:c r="D21" s="19" t="str">
        <x:v>김동혁</x:v>
      </x:c>
      <x:c r="E21" s="21" t="d">
        <x:v>2026-10-24T00:00:00.000Z</x:v>
      </x:c>
      <x:c r="F21" s="21" t="d">
        <x:v>2026-10-25T00:00:00.000Z</x:v>
      </x:c>
      <x:c r="G21" s="25" t="str">
        <x:v>미확인</x:v>
      </x:c>
      <x:c r="H21" s="26"/>
      <x:c r="I21" s="19" t="str">
        <x:v>필수</x:v>
      </x:c>
      <x:c r="J21" s="44" t="str">
        <x:f>IF(G21="완료",IF(H21&lt;&gt;1,"진행률 확인",IF(COUNTBLANK(INDEX('완료 기준'!$G$9:$G$77,MATCH($A21,'완료 기준'!$A$9:$A$77,0)))&gt;0,"완료근거 필요","완료 확인")),"")</x:f>
      </x:c>
    </x:row>
    <x:row r="22" ht="48" customHeight="1">
      <x:c r="A22" s="83" t="str">
        <x:v>2.2</x:v>
      </x:c>
      <x:c r="B22" s="85" t="str">
        <x:v>데이터</x:v>
      </x:c>
      <x:c r="C22" s="16" t="str">
        <x:v>계정 매핑과 비교 기준 정렬</x:v>
      </x:c>
      <x:c r="D22" s="20" t="str">
        <x:v>김동민</x:v>
      </x:c>
      <x:c r="E22" s="22" t="d">
        <x:v>2026-10-24T00:00:00.000Z</x:v>
      </x:c>
      <x:c r="F22" s="22" t="d">
        <x:v>2026-10-25T00:00:00.000Z</x:v>
      </x:c>
      <x:c r="G22" s="25" t="str">
        <x:v>미확인</x:v>
      </x:c>
      <x:c r="H22" s="26"/>
      <x:c r="I22" s="20" t="str">
        <x:v>필수</x:v>
      </x:c>
      <x:c r="J22" s="43" t="str">
        <x:f>IF(G22="완료",IF(H22&lt;&gt;1,"진행률 확인",IF(COUNTBLANK(INDEX('완료 기준'!$G$9:$G$77,MATCH($A22,'완료 기준'!$A$9:$A$77,0)))&gt;0,"완료근거 필요","완료 확인")),"")</x:f>
      </x:c>
    </x:row>
    <x:row r="23" ht="48" customHeight="1">
      <x:c r="A23" s="72" t="str">
        <x:v>2.8</x:v>
      </x:c>
      <x:c r="B23" s="91" t="str">
        <x:v>데이터</x:v>
      </x:c>
      <x:c r="C23" s="15" t="str">
        <x:v>과거 재무·주석 학습자료 수집</x:v>
      </x:c>
      <x:c r="D23" s="19" t="str">
        <x:v>김동혁</x:v>
      </x:c>
      <x:c r="E23" s="21" t="d">
        <x:v>2026-10-24T00:00:00.000Z</x:v>
      </x:c>
      <x:c r="F23" s="21" t="d">
        <x:v>2026-10-25T00:00:00.000Z</x:v>
      </x:c>
      <x:c r="G23" s="25" t="str">
        <x:v>예정</x:v>
      </x:c>
      <x:c r="H23" s="26"/>
      <x:c r="I23" s="19" t="str">
        <x:v>필수</x:v>
      </x:c>
      <x:c r="J23" s="44" t="str">
        <x:f>IF(G23="완료",IF(H23&lt;&gt;1,"진행률 확인",IF(COUNTBLANK(INDEX('완료 기준'!$G$9:$G$77,MATCH($A23,'완료 기준'!$A$9:$A$77,0)))&gt;0,"완료근거 필요","완료 확인")),"")</x:f>
      </x:c>
    </x:row>
    <x:row r="24" ht="48" customHeight="1">
      <x:c r="A24" s="83" t="str">
        <x:v>2.5</x:v>
      </x:c>
      <x:c r="B24" s="85" t="str">
        <x:v>데이터</x:v>
      </x:c>
      <x:c r="C24" s="16" t="str">
        <x:v>원문 대조 정답지 작성</x:v>
      </x:c>
      <x:c r="D24" s="20" t="str">
        <x:v>최수인</x:v>
      </x:c>
      <x:c r="E24" s="22" t="d">
        <x:v>2026-10-24T00:00:00.000Z</x:v>
      </x:c>
      <x:c r="F24" s="22" t="d">
        <x:v>2026-10-26T00:00:00.000Z</x:v>
      </x:c>
      <x:c r="G24" s="25" t="str">
        <x:v>미확인</x:v>
      </x:c>
      <x:c r="H24" s="26"/>
      <x:c r="I24" s="20" t="str">
        <x:v>필수</x:v>
      </x:c>
      <x:c r="J24" s="43" t="str">
        <x:f>IF(G24="완료",IF(H24&lt;&gt;1,"진행률 확인",IF(COUNTBLANK(INDEX('완료 기준'!$G$9:$G$77,MATCH($A24,'완료 기준'!$A$9:$A$77,0)))&gt;0,"완료근거 필요","완료 확인")),"")</x:f>
      </x:c>
    </x:row>
    <x:row r="25" ht="48" customHeight="1">
      <x:c r="A25" s="72" t="str">
        <x:v>2.3</x:v>
      </x:c>
      <x:c r="B25" s="91" t="str">
        <x:v>데이터</x:v>
      </x:c>
      <x:c r="C25" s="15" t="str">
        <x:v>주석 구간·교차참조·추출 표본 확보</x:v>
      </x:c>
      <x:c r="D25" s="19" t="str">
        <x:v>김동혁</x:v>
      </x:c>
      <x:c r="E25" s="21" t="d">
        <x:v>2026-10-25T00:00:00.000Z</x:v>
      </x:c>
      <x:c r="F25" s="21" t="d">
        <x:v>2026-10-25T00:00:00.000Z</x:v>
      </x:c>
      <x:c r="G25" s="25" t="str">
        <x:v>미확인</x:v>
      </x:c>
      <x:c r="H25" s="26"/>
      <x:c r="I25" s="19" t="str">
        <x:v>필수</x:v>
      </x:c>
      <x:c r="J25" s="44" t="str">
        <x:f>IF(G25="완료",IF(H25&lt;&gt;1,"진행률 확인",IF(COUNTBLANK(INDEX('완료 기준'!$G$9:$G$77,MATCH($A25,'완료 기준'!$A$9:$A$77,0)))&gt;0,"완료근거 필요","완료 확인")),"")</x:f>
      </x:c>
    </x:row>
    <x:row r="26" ht="48" customHeight="1">
      <x:c r="A26" s="83" t="str">
        <x:v>2.9</x:v>
      </x:c>
      <x:c r="B26" s="85" t="str">
        <x:v>데이터</x:v>
      </x:c>
      <x:c r="C26" s="16" t="str">
        <x:v>12개월 라벨과 관측기간 구성</x:v>
      </x:c>
      <x:c r="D26" s="20" t="str">
        <x:v>김동민</x:v>
      </x:c>
      <x:c r="E26" s="22" t="d">
        <x:v>2026-10-25T00:00:00.000Z</x:v>
      </x:c>
      <x:c r="F26" s="22" t="d">
        <x:v>2026-10-26T00:00:00.000Z</x:v>
      </x:c>
      <x:c r="G26" s="25" t="str">
        <x:v>예정</x:v>
      </x:c>
      <x:c r="H26" s="26"/>
      <x:c r="I26" s="20" t="str">
        <x:v>필수</x:v>
      </x:c>
      <x:c r="J26" s="43" t="str">
        <x:f>IF(G26="완료",IF(H26&lt;&gt;1,"진행률 확인",IF(COUNTBLANK(INDEX('완료 기준'!$G$9:$G$77,MATCH($A26,'완료 기준'!$A$9:$A$77,0)))&gt;0,"완료근거 필요","완료 확인")),"")</x:f>
      </x:c>
    </x:row>
    <x:row r="27" ht="48" customHeight="1">
      <x:c r="A27" s="70" t="str">
        <x:v>2.10</x:v>
      </x:c>
      <x:c r="B27" s="73" t="str">
        <x:v>데이터</x:v>
      </x:c>
      <x:c r="C27" s="29" t="str">
        <x:v>업종별 필수 계정 확보율 점검</x:v>
      </x:c>
      <x:c r="D27" s="30" t="str">
        <x:v>김동민</x:v>
      </x:c>
      <x:c r="E27" s="31" t="d">
        <x:v>2026-10-25T00:00:00.000Z</x:v>
      </x:c>
      <x:c r="F27" s="31" t="d">
        <x:v>2026-10-26T00:00:00.000Z</x:v>
      </x:c>
      <x:c r="G27" s="32" t="str">
        <x:v>예정</x:v>
      </x:c>
      <x:c r="H27" s="33"/>
      <x:c r="I27" s="30" t="str">
        <x:v>필수</x:v>
      </x:c>
      <x:c r="J27" s="42" t="str">
        <x:f>IF(G27="완료",IF(H27&lt;&gt;1,"진행률 확인",IF(COUNTBLANK(INDEX('완료 기준'!$G$9:$G$77,MATCH($A27,'완료 기준'!$A$9:$A$77,0)))&gt;0,"완료근거 필요","완료 확인")),"")</x:f>
      </x:c>
    </x:row>
    <x:row r="28" ht="48" customHeight="1">
      <x:c r="A28" s="83" t="str">
        <x:v>2.11</x:v>
      </x:c>
      <x:c r="B28" s="85" t="str">
        <x:v>데이터</x:v>
      </x:c>
      <x:c r="C28" s="16" t="str">
        <x:v>주석 원문 구간·추출 검출 상태 저장</x:v>
      </x:c>
      <x:c r="D28" s="20" t="str">
        <x:v>김동혁</x:v>
      </x:c>
      <x:c r="E28" s="22" t="d">
        <x:v>2026-10-25T00:00:00.000Z</x:v>
      </x:c>
      <x:c r="F28" s="22" t="d">
        <x:v>2026-10-26T00:00:00.000Z</x:v>
      </x:c>
      <x:c r="G28" s="25" t="str">
        <x:v>예정</x:v>
      </x:c>
      <x:c r="H28" s="26"/>
      <x:c r="I28" s="20" t="str">
        <x:v>필수</x:v>
      </x:c>
      <x:c r="J28" s="43" t="str">
        <x:f>IF(G28="완료",IF(H28&lt;&gt;1,"진행률 확인",IF(COUNTBLANK(INDEX('완료 기준'!$G$9:$G$77,MATCH($A28,'완료 기준'!$A$9:$A$77,0)))&gt;0,"완료근거 필요","완료 확인")),"")</x:f>
      </x:c>
    </x:row>
    <x:row r="29" ht="48" customHeight="1">
      <x:c r="A29" s="72" t="str">
        <x:v>2.4</x:v>
      </x:c>
      <x:c r="B29" s="91" t="str">
        <x:v>데이터</x:v>
      </x:c>
      <x:c r="C29" s="15" t="str">
        <x:v>데이터 정합성과 결측 점검</x:v>
      </x:c>
      <x:c r="D29" s="19" t="str">
        <x:v>김동민</x:v>
      </x:c>
      <x:c r="E29" s="21" t="d">
        <x:v>2026-10-26T00:00:00.000Z</x:v>
      </x:c>
      <x:c r="F29" s="21" t="d">
        <x:v>2026-10-26T00:00:00.000Z</x:v>
      </x:c>
      <x:c r="G29" s="25" t="str">
        <x:v>미확인</x:v>
      </x:c>
      <x:c r="H29" s="26"/>
      <x:c r="I29" s="19" t="str">
        <x:v>필수</x:v>
      </x:c>
      <x:c r="J29" s="44" t="str">
        <x:f>IF(G29="완료",IF(H29&lt;&gt;1,"진행률 확인",IF(COUNTBLANK(INDEX('완료 기준'!$G$9:$G$77,MATCH($A29,'완료 기준'!$A$9:$A$77,0)))&gt;0,"완료근거 필요","완료 확인")),"")</x:f>
      </x:c>
    </x:row>
    <x:row r="30" ht="48" customHeight="1">
      <x:c r="A30" s="83" t="str">
        <x:v>2.6</x:v>
      </x:c>
      <x:c r="B30" s="85" t="str">
        <x:v>데이터</x:v>
      </x:c>
      <x:c r="C30" s="16" t="str">
        <x:v>업종 비교 표본 확보와 정리</x:v>
      </x:c>
      <x:c r="D30" s="20" t="str">
        <x:v>김동민</x:v>
      </x:c>
      <x:c r="E30" s="22" t="d">
        <x:v>2026-10-27T00:00:00.000Z</x:v>
      </x:c>
      <x:c r="F30" s="22" t="d">
        <x:v>2026-10-28T00:00:00.000Z</x:v>
      </x:c>
      <x:c r="G30" s="25" t="str">
        <x:v>미확인</x:v>
      </x:c>
      <x:c r="H30" s="26"/>
      <x:c r="I30" s="20" t="str">
        <x:v>필수</x:v>
      </x:c>
      <x:c r="J30" s="43" t="str">
        <x:f>IF(G30="완료",IF(H30&lt;&gt;1,"진행률 확인",IF(COUNTBLANK(INDEX('완료 기준'!$G$9:$G$77,MATCH($A30,'완료 기준'!$A$9:$A$77,0)))&gt;0,"완료근거 필요","완료 확인")),"")</x:f>
      </x:c>
    </x:row>
    <x:row r="31" ht="48" customHeight="1">
      <x:c r="A31" s="72" t="str">
        <x:v>3.2</x:v>
      </x:c>
      <x:c r="B31" s="91" t="str">
        <x:v>분석·화면</x:v>
      </x:c>
      <x:c r="C31" s="15" t="str">
        <x:v>기업 검색과 업종 표시·필터</x:v>
      </x:c>
      <x:c r="D31" s="19" t="str">
        <x:v>서종원</x:v>
      </x:c>
      <x:c r="E31" s="21" t="d">
        <x:v>2026-10-24T00:00:00.000Z</x:v>
      </x:c>
      <x:c r="F31" s="21" t="d">
        <x:v>2026-10-24T00:00:00.000Z</x:v>
      </x:c>
      <x:c r="G31" s="25" t="str">
        <x:v>미확인</x:v>
      </x:c>
      <x:c r="H31" s="26"/>
      <x:c r="I31" s="19" t="str">
        <x:v>필수</x:v>
      </x:c>
      <x:c r="J31" s="44" t="str">
        <x:f>IF(G31="완료",IF(H31&lt;&gt;1,"진행률 확인",IF(COUNTBLANK(INDEX('완료 기준'!$G$9:$G$77,MATCH($A31,'완료 기준'!$A$9:$A$77,0)))&gt;0,"완료근거 필요","완료 확인")),"")</x:f>
      </x:c>
    </x:row>
    <x:row r="32" ht="48" customHeight="1">
      <x:c r="A32" s="83" t="str">
        <x:v>3.1</x:v>
      </x:c>
      <x:c r="B32" s="85" t="str">
        <x:v>분석·화면</x:v>
      </x:c>
      <x:c r="C32" s="16" t="str">
        <x:v>변동 기여도와 재무비율 계산</x:v>
      </x:c>
      <x:c r="D32" s="20" t="str">
        <x:v>김동민</x:v>
      </x:c>
      <x:c r="E32" s="22" t="d">
        <x:v>2026-10-24T00:00:00.000Z</x:v>
      </x:c>
      <x:c r="F32" s="22" t="d">
        <x:v>2026-10-26T00:00:00.000Z</x:v>
      </x:c>
      <x:c r="G32" s="25" t="str">
        <x:v>미확인</x:v>
      </x:c>
      <x:c r="H32" s="26"/>
      <x:c r="I32" s="20" t="str">
        <x:v>필수</x:v>
      </x:c>
      <x:c r="J32" s="43" t="str">
        <x:f>IF(G32="완료",IF(H32&lt;&gt;1,"진행률 확인",IF(COUNTBLANK(INDEX('완료 기준'!$G$9:$G$77,MATCH($A32,'완료 기준'!$A$9:$A$77,0)))&gt;0,"완료근거 필요","완료 확인")),"")</x:f>
      </x:c>
    </x:row>
    <x:row r="33" ht="48" customHeight="1">
      <x:c r="A33" s="72" t="str">
        <x:v>3.12</x:v>
      </x:c>
      <x:c r="B33" s="91" t="str">
        <x:v>분석·화면</x:v>
      </x:c>
      <x:c r="C33" s="15" t="str">
        <x:v>겸업 판정·업종 변경 근거 기록</x:v>
      </x:c>
      <x:c r="D33" s="19" t="str">
        <x:v>서종원</x:v>
      </x:c>
      <x:c r="E33" s="21" t="d">
        <x:v>2026-10-24T00:00:00.000Z</x:v>
      </x:c>
      <x:c r="F33" s="21" t="d">
        <x:v>2026-10-25T00:00:00.000Z</x:v>
      </x:c>
      <x:c r="G33" s="25" t="str">
        <x:v>예정</x:v>
      </x:c>
      <x:c r="H33" s="26"/>
      <x:c r="I33" s="19" t="str">
        <x:v>필수</x:v>
      </x:c>
      <x:c r="J33" s="44" t="str">
        <x:f>IF(G33="완료",IF(H33&lt;&gt;1,"진행률 확인",IF(COUNTBLANK(INDEX('완료 기준'!$G$9:$G$77,MATCH($A33,'완료 기준'!$A$9:$A$77,0)))&gt;0,"완료근거 필요","완료 확인")),"")</x:f>
      </x:c>
    </x:row>
    <x:row r="34" ht="48" customHeight="1">
      <x:c r="A34" s="83" t="str">
        <x:v>3.3</x:v>
      </x:c>
      <x:c r="B34" s="85" t="str">
        <x:v>분석·화면</x:v>
      </x:c>
      <x:c r="C34" s="16" t="str">
        <x:v>핵심 재무 대시보드와 차트</x:v>
      </x:c>
      <x:c r="D34" s="20" t="str">
        <x:v>서종원</x:v>
      </x:c>
      <x:c r="E34" s="22" t="d">
        <x:v>2026-10-25T00:00:00.000Z</x:v>
      </x:c>
      <x:c r="F34" s="22" t="d">
        <x:v>2026-10-26T00:00:00.000Z</x:v>
      </x:c>
      <x:c r="G34" s="25" t="str">
        <x:v>미확인</x:v>
      </x:c>
      <x:c r="H34" s="26"/>
      <x:c r="I34" s="20" t="str">
        <x:v>필수</x:v>
      </x:c>
      <x:c r="J34" s="43" t="str">
        <x:f>IF(G34="완료",IF(H34&lt;&gt;1,"진행률 확인",IF(COUNTBLANK(INDEX('완료 기준'!$G$9:$G$77,MATCH($A34,'완료 기준'!$A$9:$A$77,0)))&gt;0,"완료근거 필요","완료 확인")),"")</x:f>
      </x:c>
    </x:row>
    <x:row r="35" ht="48" customHeight="1">
      <x:c r="A35" s="70" t="str">
        <x:v>3.8</x:v>
      </x:c>
      <x:c r="B35" s="73" t="str">
        <x:v>분석·화면</x:v>
      </x:c>
      <x:c r="C35" s="29" t="str">
        <x:v>차입 상환능력·영업순환 지표 계산</x:v>
      </x:c>
      <x:c r="D35" s="30" t="str">
        <x:v>김동민</x:v>
      </x:c>
      <x:c r="E35" s="31" t="d">
        <x:v>2026-10-26T00:00:00.000Z</x:v>
      </x:c>
      <x:c r="F35" s="31" t="d">
        <x:v>2026-10-26T00:00:00.000Z</x:v>
      </x:c>
      <x:c r="G35" s="32" t="str">
        <x:v>예정</x:v>
      </x:c>
      <x:c r="H35" s="33"/>
      <x:c r="I35" s="30" t="str">
        <x:v>필수</x:v>
      </x:c>
      <x:c r="J35" s="42" t="str">
        <x:f>IF(G35="완료",IF(H35&lt;&gt;1,"진행률 확인",IF(COUNTBLANK(INDEX('완료 기준'!$G$9:$G$77,MATCH($A35,'완료 기준'!$A$9:$A$77,0)))&gt;0,"완료근거 필요","완료 확인")),"")</x:f>
      </x:c>
    </x:row>
    <x:row r="36" ht="48" customHeight="1">
      <x:c r="A36" s="83" t="str">
        <x:v>3.4</x:v>
      </x:c>
      <x:c r="B36" s="85" t="str">
        <x:v>분석·화면</x:v>
      </x:c>
      <x:c r="C36" s="16" t="str">
        <x:v>확인 체크와 재무 검토 기록 초안</x:v>
      </x:c>
      <x:c r="D36" s="20" t="str">
        <x:v>서종원</x:v>
      </x:c>
      <x:c r="E36" s="22" t="d">
        <x:v>2026-10-27T00:00:00.000Z</x:v>
      </x:c>
      <x:c r="F36" s="22" t="d">
        <x:v>2026-10-28T00:00:00.000Z</x:v>
      </x:c>
      <x:c r="G36" s="25" t="str">
        <x:v>미확인</x:v>
      </x:c>
      <x:c r="H36" s="26"/>
      <x:c r="I36" s="20" t="str">
        <x:v>필수</x:v>
      </x:c>
      <x:c r="J36" s="43" t="str">
        <x:f>IF(G36="완료",IF(H36&lt;&gt;1,"진행률 확인",IF(COUNTBLANK(INDEX('완료 기준'!$G$9:$G$77,MATCH($A36,'완료 기준'!$A$9:$A$77,0)))&gt;0,"완료근거 필요","완료 확인")),"")</x:f>
      </x:c>
    </x:row>
    <x:row r="37" ht="48" customHeight="1">
      <x:c r="A37" s="72" t="str">
        <x:v>3.6</x:v>
      </x:c>
      <x:c r="B37" s="91" t="str">
        <x:v>분석·화면</x:v>
      </x:c>
      <x:c r="C37" s="15" t="str">
        <x:v>업종별 확인 기준 검토</x:v>
      </x:c>
      <x:c r="D37" s="19" t="str">
        <x:v>오준탁</x:v>
      </x:c>
      <x:c r="E37" s="21" t="d">
        <x:v>2026-10-27T00:00:00.000Z</x:v>
      </x:c>
      <x:c r="F37" s="21" t="d">
        <x:v>2026-10-28T00:00:00.000Z</x:v>
      </x:c>
      <x:c r="G37" s="25" t="str">
        <x:v>미확인</x:v>
      </x:c>
      <x:c r="H37" s="26"/>
      <x:c r="I37" s="19" t="str">
        <x:v>필수</x:v>
      </x:c>
      <x:c r="J37" s="44" t="str">
        <x:f>IF(G37="완료",IF(H37&lt;&gt;1,"진행률 확인",IF(COUNTBLANK(INDEX('완료 기준'!$G$9:$G$77,MATCH($A37,'완료 기준'!$A$9:$A$77,0)))&gt;0,"완료근거 필요","완료 확인")),"")</x:f>
      </x:c>
    </x:row>
    <x:row r="38" ht="48" customHeight="1">
      <x:c r="A38" s="83" t="str">
        <x:v>3.9</x:v>
      </x:c>
      <x:c r="B38" s="85" t="str">
        <x:v>분석·화면</x:v>
      </x:c>
      <x:c r="C38" s="16" t="str">
        <x:v>업종 위험 지표·징후 단계 판정 연결</x:v>
      </x:c>
      <x:c r="D38" s="20" t="str">
        <x:v>김동민</x:v>
      </x:c>
      <x:c r="E38" s="22" t="d">
        <x:v>2026-10-27T00:00:00.000Z</x:v>
      </x:c>
      <x:c r="F38" s="22" t="d">
        <x:v>2026-10-28T00:00:00.000Z</x:v>
      </x:c>
      <x:c r="G38" s="25" t="str">
        <x:v>예정</x:v>
      </x:c>
      <x:c r="H38" s="26"/>
      <x:c r="I38" s="20" t="str">
        <x:v>필수</x:v>
      </x:c>
      <x:c r="J38" s="43" t="str">
        <x:f>IF(G38="완료",IF(H38&lt;&gt;1,"진행률 확인",IF(COUNTBLANK(INDEX('완료 기준'!$G$9:$G$77,MATCH($A38,'완료 기준'!$A$9:$A$77,0)))&gt;0,"완료근거 필요","완료 확인")),"")</x:f>
      </x:c>
    </x:row>
    <x:row r="39" ht="48" customHeight="1">
      <x:c r="A39" s="72" t="str">
        <x:v>3.11</x:v>
      </x:c>
      <x:c r="B39" s="91" t="str">
        <x:v>분석·화면</x:v>
      </x:c>
      <x:c r="C39" s="15" t="str">
        <x:v>직접 입력·출처·재계산 경로 검증</x:v>
      </x:c>
      <x:c r="D39" s="19" t="str">
        <x:v>서종원</x:v>
      </x:c>
      <x:c r="E39" s="21" t="d">
        <x:v>2026-10-27T00:00:00.000Z</x:v>
      </x:c>
      <x:c r="F39" s="21" t="d">
        <x:v>2026-10-28T00:00:00.000Z</x:v>
      </x:c>
      <x:c r="G39" s="25" t="str">
        <x:v>예정</x:v>
      </x:c>
      <x:c r="H39" s="26"/>
      <x:c r="I39" s="19" t="str">
        <x:v>필수</x:v>
      </x:c>
      <x:c r="J39" s="44" t="str">
        <x:f>IF(G39="완료",IF(H39&lt;&gt;1,"진행률 확인",IF(COUNTBLANK(INDEX('완료 기준'!$G$9:$G$77,MATCH($A39,'완료 기준'!$A$9:$A$77,0)))&gt;0,"완료근거 필요","완료 확인")),"")</x:f>
      </x:c>
    </x:row>
    <x:row r="40" ht="48" customHeight="1">
      <x:c r="A40" s="83" t="str">
        <x:v>3.10</x:v>
      </x:c>
      <x:c r="B40" s="85" t="str">
        <x:v>분석·화면</x:v>
      </x:c>
      <x:c r="C40" s="16" t="str">
        <x:v>기존 주석 화면에 업종 위험 패널·차트 연결</x:v>
      </x:c>
      <x:c r="D40" s="20" t="str">
        <x:v>서종원</x:v>
      </x:c>
      <x:c r="E40" s="22" t="d">
        <x:v>2026-10-28T00:00:00.000Z</x:v>
      </x:c>
      <x:c r="F40" s="22" t="d">
        <x:v>2026-10-30T00:00:00.000Z</x:v>
      </x:c>
      <x:c r="G40" s="25" t="str">
        <x:v>예정</x:v>
      </x:c>
      <x:c r="H40" s="26"/>
      <x:c r="I40" s="20" t="str">
        <x:v>필수</x:v>
      </x:c>
      <x:c r="J40" s="43" t="str">
        <x:f>IF(G40="완료",IF(H40&lt;&gt;1,"진행률 확인",IF(COUNTBLANK(INDEX('완료 기준'!$G$9:$G$77,MATCH($A40,'완료 기준'!$A$9:$A$77,0)))&gt;0,"완료근거 필요","완료 확인")),"")</x:f>
      </x:c>
    </x:row>
    <x:row r="41" ht="48" customHeight="1">
      <x:c r="A41" s="72" t="str">
        <x:v>3.5</x:v>
      </x:c>
      <x:c r="B41" s="91" t="str">
        <x:v>분석·화면</x:v>
      </x:c>
      <x:c r="C41" s="15" t="str">
        <x:v>현금흐름 괴리와 업종 비교 분석</x:v>
      </x:c>
      <x:c r="D41" s="19" t="str">
        <x:v>김동민</x:v>
      </x:c>
      <x:c r="E41" s="21" t="d">
        <x:v>2026-10-29T00:00:00.000Z</x:v>
      </x:c>
      <x:c r="F41" s="21" t="d">
        <x:v>2026-10-30T00:00:00.000Z</x:v>
      </x:c>
      <x:c r="G41" s="25" t="str">
        <x:v>미확인</x:v>
      </x:c>
      <x:c r="H41" s="26"/>
      <x:c r="I41" s="19" t="str">
        <x:v>필수</x:v>
      </x:c>
      <x:c r="J41" s="44" t="str">
        <x:f>IF(G41="완료",IF(H41&lt;&gt;1,"진행률 확인",IF(COUNTBLANK(INDEX('완료 기준'!$G$9:$G$77,MATCH($A41,'완료 기준'!$A$9:$A$77,0)))&gt;0,"완료근거 필요","완료 확인")),"")</x:f>
      </x:c>
    </x:row>
    <x:row r="42" ht="48" customHeight="1">
      <x:c r="A42" s="83" t="str">
        <x:v>3.7</x:v>
      </x:c>
      <x:c r="B42" s="85" t="str">
        <x:v>분석·화면</x:v>
      </x:c>
      <x:c r="C42" s="16" t="str">
        <x:v>핵심 분석과 확인 항목 통합</x:v>
      </x:c>
      <x:c r="D42" s="20" t="str">
        <x:v>서종원</x:v>
      </x:c>
      <x:c r="E42" s="22" t="d">
        <x:v>2026-10-29T00:00:00.000Z</x:v>
      </x:c>
      <x:c r="F42" s="22" t="d">
        <x:v>2026-10-30T00:00:00.000Z</x:v>
      </x:c>
      <x:c r="G42" s="25" t="str">
        <x:v>미확인</x:v>
      </x:c>
      <x:c r="H42" s="26"/>
      <x:c r="I42" s="20" t="str">
        <x:v>필수</x:v>
      </x:c>
      <x:c r="J42" s="43" t="str">
        <x:f>IF(G42="완료",IF(H42&lt;&gt;1,"진행률 확인",IF(COUNTBLANK(INDEX('완료 기준'!$G$9:$G$77,MATCH($A42,'완료 기준'!$A$9:$A$77,0)))&gt;0,"완료근거 필요","완료 확인")),"")</x:f>
      </x:c>
    </x:row>
    <x:row r="43" ht="48" customHeight="1">
      <x:c r="A43" s="70" t="str">
        <x:v>3.M2</x:v>
      </x:c>
      <x:c r="B43" s="94" t="str">
        <x:v>분석·화면</x:v>
      </x:c>
      <x:c r="C43" s="29" t="str">
        <x:v>핵심 재무 기능 통합 완료 판단</x:v>
      </x:c>
      <x:c r="D43" s="30" t="str">
        <x:v>김동혁</x:v>
      </x:c>
      <x:c r="E43" s="31" t="d">
        <x:v>2026-10-30T00:00:00.000Z</x:v>
      </x:c>
      <x:c r="F43" s="31" t="d">
        <x:v>2026-10-30T00:00:00.000Z</x:v>
      </x:c>
      <x:c r="G43" s="32" t="str">
        <x:v>미확인</x:v>
      </x:c>
      <x:c r="H43" s="33"/>
      <x:c r="I43" s="30" t="str">
        <x:v>마일스톤</x:v>
      </x:c>
      <x:c r="J43" s="42" t="str">
        <x:f>IF(G43="완료",IF(H43&lt;&gt;1,"진행률 확인",IF(COUNTBLANK(INDEX('완료 기준'!$G$9:$G$77,MATCH($A43,'완료 기준'!$A$9:$A$77,0)))&gt;0,"완료근거 필요","완료 확인")),"")</x:f>
      </x:c>
    </x:row>
    <x:row r="44" ht="48" customHeight="1">
      <x:c r="A44" s="83" t="str">
        <x:v>4.1</x:v>
      </x:c>
      <x:c r="B44" s="95" t="str">
        <x:v>AI·뉴스</x:v>
      </x:c>
      <x:c r="C44" s="16" t="str">
        <x:v>주석 요약 형식과 확인 안내 정의</x:v>
      </x:c>
      <x:c r="D44" s="20" t="str">
        <x:v>오준탁</x:v>
      </x:c>
      <x:c r="E44" s="22" t="d">
        <x:v>2026-10-26T00:00:00.000Z</x:v>
      </x:c>
      <x:c r="F44" s="22" t="d">
        <x:v>2026-10-26T00:00:00.000Z</x:v>
      </x:c>
      <x:c r="G44" s="25" t="str">
        <x:v>미확인</x:v>
      </x:c>
      <x:c r="H44" s="26"/>
      <x:c r="I44" s="20" t="str">
        <x:v>필수</x:v>
      </x:c>
      <x:c r="J44" s="43" t="str">
        <x:f>IF(G44="완료",IF(H44&lt;&gt;1,"진행률 확인",IF(COUNTBLANK(INDEX('완료 기준'!$G$9:$G$77,MATCH($A44,'완료 기준'!$A$9:$A$77,0)))&gt;0,"완료근거 필요","완료 확인")),"")</x:f>
      </x:c>
    </x:row>
    <x:row r="45" ht="48" customHeight="1">
      <x:c r="A45" s="72" t="str">
        <x:v>4.2</x:v>
      </x:c>
      <x:c r="B45" s="96" t="str">
        <x:v>AI·뉴스</x:v>
      </x:c>
      <x:c r="C45" s="15" t="str">
        <x:v>주석 위험 항목 추출과 AI 요약</x:v>
      </x:c>
      <x:c r="D45" s="19" t="str">
        <x:v>김동혁</x:v>
      </x:c>
      <x:c r="E45" s="21" t="d">
        <x:v>2026-10-26T00:00:00.000Z</x:v>
      </x:c>
      <x:c r="F45" s="21" t="d">
        <x:v>2026-10-27T00:00:00.000Z</x:v>
      </x:c>
      <x:c r="G45" s="25" t="str">
        <x:v>미확인</x:v>
      </x:c>
      <x:c r="H45" s="26"/>
      <x:c r="I45" s="19" t="str">
        <x:v>필수</x:v>
      </x:c>
      <x:c r="J45" s="44" t="str">
        <x:f>IF(G45="완료",IF(H45&lt;&gt;1,"진행률 확인",IF(COUNTBLANK(INDEX('완료 기준'!$G$9:$G$77,MATCH($A45,'완료 기준'!$A$9:$A$77,0)))&gt;0,"완료근거 필요","완료 확인")),"")</x:f>
      </x:c>
    </x:row>
    <x:row r="46" ht="48" customHeight="1">
      <x:c r="A46" s="83" t="str">
        <x:v>4.8</x:v>
      </x:c>
      <x:c r="B46" s="95" t="str">
        <x:v>AI·뉴스</x:v>
      </x:c>
      <x:c r="C46" s="16" t="str">
        <x:v>공통 주석 6범주 추출 규칙 구현</x:v>
      </x:c>
      <x:c r="D46" s="20" t="str">
        <x:v>김동혁</x:v>
      </x:c>
      <x:c r="E46" s="22" t="d">
        <x:v>2026-10-26T00:00:00.000Z</x:v>
      </x:c>
      <x:c r="F46" s="22" t="d">
        <x:v>2026-10-27T00:00:00.000Z</x:v>
      </x:c>
      <x:c r="G46" s="25" t="str">
        <x:v>예정</x:v>
      </x:c>
      <x:c r="H46" s="26"/>
      <x:c r="I46" s="20" t="str">
        <x:v>필수</x:v>
      </x:c>
      <x:c r="J46" s="43" t="str">
        <x:f>IF(G46="완료",IF(H46&lt;&gt;1,"진행률 확인",IF(COUNTBLANK(INDEX('완료 기준'!$G$9:$G$77,MATCH($A46,'완료 기준'!$A$9:$A$77,0)))&gt;0,"완료근거 필요","완료 확인")),"")</x:f>
      </x:c>
    </x:row>
    <x:row r="47" ht="48" customHeight="1">
      <x:c r="A47" s="72" t="str">
        <x:v>4.3</x:v>
      </x:c>
      <x:c r="B47" s="96" t="str">
        <x:v>AI·뉴스</x:v>
      </x:c>
      <x:c r="C47" s="15" t="str">
        <x:v>뉴스 수집 방식과 후보 기사 확보</x:v>
      </x:c>
      <x:c r="D47" s="19" t="str">
        <x:v>김동혁</x:v>
      </x:c>
      <x:c r="E47" s="21" t="d">
        <x:v>2026-10-27T00:00:00.000Z</x:v>
      </x:c>
      <x:c r="F47" s="21" t="d">
        <x:v>2026-10-28T00:00:00.000Z</x:v>
      </x:c>
      <x:c r="G47" s="25" t="str">
        <x:v>미확인</x:v>
      </x:c>
      <x:c r="H47" s="26"/>
      <x:c r="I47" s="19" t="str">
        <x:v>보완</x:v>
      </x:c>
      <x:c r="J47" s="44" t="str">
        <x:f>IF(G47="완료",IF(H47&lt;&gt;1,"진행률 확인",IF(COUNTBLANK(INDEX('완료 기준'!$G$9:$G$77,MATCH($A47,'완료 기준'!$A$9:$A$77,0)))&gt;0,"완료근거 필요","완료 확인")),"")</x:f>
      </x:c>
    </x:row>
    <x:row r="48" ht="48" customHeight="1">
      <x:c r="A48" s="83" t="str">
        <x:v>4.5</x:v>
      </x:c>
      <x:c r="B48" s="95" t="str">
        <x:v>AI·뉴스</x:v>
      </x:c>
      <x:c r="C48" s="16" t="str">
        <x:v>AI 요약 원문 대조 검증</x:v>
      </x:c>
      <x:c r="D48" s="20" t="str">
        <x:v>최수인</x:v>
      </x:c>
      <x:c r="E48" s="22" t="d">
        <x:v>2026-10-27T00:00:00.000Z</x:v>
      </x:c>
      <x:c r="F48" s="22" t="d">
        <x:v>2026-10-28T00:00:00.000Z</x:v>
      </x:c>
      <x:c r="G48" s="25" t="str">
        <x:v>미확인</x:v>
      </x:c>
      <x:c r="H48" s="26"/>
      <x:c r="I48" s="20" t="str">
        <x:v>필수</x:v>
      </x:c>
      <x:c r="J48" s="43" t="str">
        <x:f>IF(G48="완료",IF(H48&lt;&gt;1,"진행률 확인",IF(COUNTBLANK(INDEX('완료 기준'!$G$9:$G$77,MATCH($A48,'완료 기준'!$A$9:$A$77,0)))&gt;0,"완료근거 필요","완료 확인")),"")</x:f>
      </x:c>
    </x:row>
    <x:row r="49" ht="48" customHeight="1">
      <x:c r="A49" s="72" t="str">
        <x:v>4.9</x:v>
      </x:c>
      <x:c r="B49" s="96" t="str">
        <x:v>AI·뉴스</x:v>
      </x:c>
      <x:c r="C49" s="15" t="str">
        <x:v>4개 업종별 주석 추가 추출 규칙 구현</x:v>
      </x:c>
      <x:c r="D49" s="19" t="str">
        <x:v>김동혁</x:v>
      </x:c>
      <x:c r="E49" s="21" t="d">
        <x:v>2026-10-27T00:00:00.000Z</x:v>
      </x:c>
      <x:c r="F49" s="21" t="d">
        <x:v>2026-10-28T00:00:00.000Z</x:v>
      </x:c>
      <x:c r="G49" s="25" t="str">
        <x:v>예정</x:v>
      </x:c>
      <x:c r="H49" s="26"/>
      <x:c r="I49" s="19" t="str">
        <x:v>필수</x:v>
      </x:c>
      <x:c r="J49" s="44" t="str">
        <x:f>IF(G49="완료",IF(H49&lt;&gt;1,"진행률 확인",IF(COUNTBLANK(INDEX('완료 기준'!$G$9:$G$77,MATCH($A49,'완료 기준'!$A$9:$A$77,0)))&gt;0,"완료근거 필요","완료 확인")),"")</x:f>
      </x:c>
    </x:row>
    <x:row r="50" ht="48" customHeight="1">
      <x:c r="A50" s="83" t="str">
        <x:v>4.4</x:v>
      </x:c>
      <x:c r="B50" s="95" t="str">
        <x:v>AI·뉴스</x:v>
      </x:c>
      <x:c r="C50" s="16" t="str">
        <x:v>뉴스 관련성과 누락 정답지</x:v>
      </x:c>
      <x:c r="D50" s="20" t="str">
        <x:v>최수인</x:v>
      </x:c>
      <x:c r="E50" s="22" t="d">
        <x:v>2026-10-29T00:00:00.000Z</x:v>
      </x:c>
      <x:c r="F50" s="22" t="d">
        <x:v>2026-10-29T00:00:00.000Z</x:v>
      </x:c>
      <x:c r="G50" s="25" t="str">
        <x:v>미확인</x:v>
      </x:c>
      <x:c r="H50" s="26"/>
      <x:c r="I50" s="20" t="str">
        <x:v>보완</x:v>
      </x:c>
      <x:c r="J50" s="43" t="str">
        <x:f>IF(G50="완료",IF(H50&lt;&gt;1,"진행률 확인",IF(COUNTBLANK(INDEX('완료 기준'!$G$9:$G$77,MATCH($A50,'완료 기준'!$A$9:$A$77,0)))&gt;0,"완료근거 필요","완료 확인")),"")</x:f>
      </x:c>
    </x:row>
    <x:row r="51" ht="48" customHeight="1">
      <x:c r="A51" s="70" t="str">
        <x:v>4.6</x:v>
      </x:c>
      <x:c r="B51" s="73" t="str">
        <x:v>AI·뉴스</x:v>
      </x:c>
      <x:c r="C51" s="29" t="str">
        <x:v>주석 요약과 원문 근거 화면 연결</x:v>
      </x:c>
      <x:c r="D51" s="30" t="str">
        <x:v>서종원</x:v>
      </x:c>
      <x:c r="E51" s="31" t="d">
        <x:v>2026-10-29T00:00:00.000Z</x:v>
      </x:c>
      <x:c r="F51" s="31" t="d">
        <x:v>2026-10-30T00:00:00.000Z</x:v>
      </x:c>
      <x:c r="G51" s="32" t="str">
        <x:v>미확인</x:v>
      </x:c>
      <x:c r="H51" s="33"/>
      <x:c r="I51" s="30" t="str">
        <x:v>필수</x:v>
      </x:c>
      <x:c r="J51" s="42" t="str">
        <x:f>IF(G51="완료",IF(H51&lt;&gt;1,"진행률 확인",IF(COUNTBLANK(INDEX('완료 기준'!$G$9:$G$77,MATCH($A51,'완료 기준'!$A$9:$A$77,0)))&gt;0,"완료근거 필요","완료 확인")),"")</x:f>
      </x:c>
    </x:row>
    <x:row r="52" ht="48" customHeight="1">
      <x:c r="A52" s="83" t="str">
        <x:v>4.10</x:v>
      </x:c>
      <x:c r="B52" s="85" t="str">
        <x:v>AI·뉴스</x:v>
      </x:c>
      <x:c r="C52" s="16" t="str">
        <x:v>업종별 추출 정밀도·재현율·미검출 원인 검수</x:v>
      </x:c>
      <x:c r="D52" s="20" t="str">
        <x:v>최수인</x:v>
      </x:c>
      <x:c r="E52" s="22" t="d">
        <x:v>2026-10-29T00:00:00.000Z</x:v>
      </x:c>
      <x:c r="F52" s="22" t="d">
        <x:v>2026-10-30T00:00:00.000Z</x:v>
      </x:c>
      <x:c r="G52" s="25" t="str">
        <x:v>예정</x:v>
      </x:c>
      <x:c r="H52" s="26"/>
      <x:c r="I52" s="20" t="str">
        <x:v>필수</x:v>
      </x:c>
      <x:c r="J52" s="43" t="str">
        <x:f>IF(G52="완료",IF(H52&lt;&gt;1,"진행률 확인",IF(COUNTBLANK(INDEX('완료 기준'!$G$9:$G$77,MATCH($A52,'완료 기준'!$A$9:$A$77,0)))&gt;0,"완료근거 필요","완료 확인")),"")</x:f>
      </x:c>
    </x:row>
    <x:row r="53" ht="48" customHeight="1">
      <x:c r="A53" s="72" t="str">
        <x:v>4.7</x:v>
      </x:c>
      <x:c r="B53" s="91" t="str">
        <x:v>AI·뉴스</x:v>
      </x:c>
      <x:c r="C53" s="15" t="str">
        <x:v>관련 뉴스 요약과 원문 링크 보완</x:v>
      </x:c>
      <x:c r="D53" s="19" t="str">
        <x:v>서종원</x:v>
      </x:c>
      <x:c r="E53" s="21" t="d">
        <x:v>2026-10-30T00:00:00.000Z</x:v>
      </x:c>
      <x:c r="F53" s="21" t="d">
        <x:v>2026-10-30T00:00:00.000Z</x:v>
      </x:c>
      <x:c r="G53" s="25" t="str">
        <x:v>예정</x:v>
      </x:c>
      <x:c r="H53" s="26"/>
      <x:c r="I53" s="19" t="str">
        <x:v>보완</x:v>
      </x:c>
      <x:c r="J53" s="44" t="str">
        <x:f>IF(G53="완료",IF(H53&lt;&gt;1,"진행률 확인",IF(COUNTBLANK(INDEX('완료 기준'!$G$9:$G$77,MATCH($A53,'완료 기준'!$A$9:$A$77,0)))&gt;0,"완료근거 필요","완료 확인")),"")</x:f>
      </x:c>
    </x:row>
    <x:row r="54" ht="48" customHeight="1">
      <x:c r="A54" s="83" t="str">
        <x:v>4.M3</x:v>
      </x:c>
      <x:c r="B54" s="85" t="str">
        <x:v>AI·뉴스</x:v>
      </x:c>
      <x:c r="C54" s="16" t="str">
        <x:v>주석 요약 검증과 제공 형식 확정</x:v>
      </x:c>
      <x:c r="D54" s="20" t="str">
        <x:v>김동혁</x:v>
      </x:c>
      <x:c r="E54" s="22" t="d">
        <x:v>2026-10-30T00:00:00.000Z</x:v>
      </x:c>
      <x:c r="F54" s="22" t="d">
        <x:v>2026-10-30T00:00:00.000Z</x:v>
      </x:c>
      <x:c r="G54" s="25" t="str">
        <x:v>미확인</x:v>
      </x:c>
      <x:c r="H54" s="26"/>
      <x:c r="I54" s="20" t="str">
        <x:v>마일스톤</x:v>
      </x:c>
      <x:c r="J54" s="43" t="str">
        <x:f>IF(G54="완료",IF(H54&lt;&gt;1,"진행률 확인",IF(COUNTBLANK(INDEX('완료 기준'!$G$9:$G$77,MATCH($A54,'완료 기준'!$A$9:$A$77,0)))&gt;0,"완료근거 필요","완료 확인")),"")</x:f>
      </x:c>
    </x:row>
    <x:row r="55" ht="48" customHeight="1">
      <x:c r="A55" s="72" t="str">
        <x:v>7.1</x:v>
      </x:c>
      <x:c r="B55" s="91" t="str">
        <x:v>위험 사건 예측</x:v>
      </x:c>
      <x:c r="C55" s="15" t="str">
        <x:v>재무지표 기준 모델 학습</x:v>
      </x:c>
      <x:c r="D55" s="19" t="str">
        <x:v>김동민</x:v>
      </x:c>
      <x:c r="E55" s="21" t="d">
        <x:v>2026-10-26T00:00:00.000Z</x:v>
      </x:c>
      <x:c r="F55" s="21" t="d">
        <x:v>2026-10-26T00:00:00.000Z</x:v>
      </x:c>
      <x:c r="G55" s="25" t="str">
        <x:v>예정</x:v>
      </x:c>
      <x:c r="H55" s="26"/>
      <x:c r="I55" s="19" t="str">
        <x:v>필수</x:v>
      </x:c>
      <x:c r="J55" s="44" t="str">
        <x:f>IF(G55="완료",IF(H55&lt;&gt;1,"진행률 확인",IF(COUNTBLANK(INDEX('완료 기준'!$G$9:$G$77,MATCH($A55,'완료 기준'!$A$9:$A$77,0)))&gt;0,"완료근거 필요","완료 확인")),"")</x:f>
      </x:c>
    </x:row>
    <x:row r="56" ht="48" customHeight="1">
      <x:c r="A56" s="83" t="str">
        <x:v>7.3</x:v>
      </x:c>
      <x:c r="B56" s="85" t="str">
        <x:v>위험 사건 예측</x:v>
      </x:c>
      <x:c r="C56" s="16" t="str">
        <x:v>주석 위험 항목의 수치 변수화</x:v>
      </x:c>
      <x:c r="D56" s="20" t="str">
        <x:v>김동민</x:v>
      </x:c>
      <x:c r="E56" s="22" t="d">
        <x:v>2026-10-28T00:00:00.000Z</x:v>
      </x:c>
      <x:c r="F56" s="22" t="d">
        <x:v>2026-10-28T00:00:00.000Z</x:v>
      </x:c>
      <x:c r="G56" s="25" t="str">
        <x:v>예정</x:v>
      </x:c>
      <x:c r="H56" s="26"/>
      <x:c r="I56" s="20" t="str">
        <x:v>필수</x:v>
      </x:c>
      <x:c r="J56" s="43" t="str">
        <x:f>IF(G56="완료",IF(H56&lt;&gt;1,"진행률 확인",IF(COUNTBLANK(INDEX('완료 기준'!$G$9:$G$77,MATCH($A56,'완료 기준'!$A$9:$A$77,0)))&gt;0,"완료근거 필요","완료 확인")),"")</x:f>
      </x:c>
    </x:row>
    <x:row r="57" ht="48" customHeight="1">
      <x:c r="A57" s="72" t="str">
        <x:v>7.4</x:v>
      </x:c>
      <x:c r="B57" s="91" t="str">
        <x:v>위험 사건 예측</x:v>
      </x:c>
      <x:c r="C57" s="15" t="str">
        <x:v>재무·주석 결합 위험 사건 모델 학습</x:v>
      </x:c>
      <x:c r="D57" s="19" t="str">
        <x:v>김동민</x:v>
      </x:c>
      <x:c r="E57" s="21" t="d">
        <x:v>2026-10-28T00:00:00.000Z</x:v>
      </x:c>
      <x:c r="F57" s="21" t="d">
        <x:v>2026-10-29T00:00:00.000Z</x:v>
      </x:c>
      <x:c r="G57" s="25" t="str">
        <x:v>예정</x:v>
      </x:c>
      <x:c r="H57" s="26"/>
      <x:c r="I57" s="19" t="str">
        <x:v>필수</x:v>
      </x:c>
      <x:c r="J57" s="44" t="str">
        <x:f>IF(G57="완료",IF(H57&lt;&gt;1,"진행률 확인",IF(COUNTBLANK(INDEX('완료 기준'!$G$9:$G$77,MATCH($A57,'완료 기준'!$A$9:$A$77,0)))&gt;0,"완료근거 필요","완료 확인")),"")</x:f>
      </x:c>
    </x:row>
    <x:row r="58" ht="48" customHeight="1">
      <x:c r="A58" s="92" t="str">
        <x:v>7.5</x:v>
      </x:c>
      <x:c r="B58" s="93" t="str">
        <x:v>위험 사건 예측</x:v>
      </x:c>
      <x:c r="C58" s="36" t="str">
        <x:v>모델 비교와 예측 확률 보정</x:v>
      </x:c>
      <x:c r="D58" s="37" t="str">
        <x:v>김동민</x:v>
      </x:c>
      <x:c r="E58" s="38" t="d">
        <x:v>2026-10-29T00:00:00.000Z</x:v>
      </x:c>
      <x:c r="F58" s="38" t="d">
        <x:v>2026-10-30T00:00:00.000Z</x:v>
      </x:c>
      <x:c r="G58" s="32" t="str">
        <x:v>예정</x:v>
      </x:c>
      <x:c r="H58" s="33"/>
      <x:c r="I58" s="37" t="str">
        <x:v>필수</x:v>
      </x:c>
      <x:c r="J58" s="45" t="str">
        <x:f>IF(G58="완료",IF(H58&lt;&gt;1,"진행률 확인",IF(COUNTBLANK(INDEX('완료 기준'!$G$9:$G$77,MATCH($A58,'완료 기준'!$A$9:$A$77,0)))&gt;0,"완료근거 필요","완료 확인")),"")</x:f>
      </x:c>
    </x:row>
    <x:row r="59" ht="48" customHeight="1">
      <x:c r="A59" s="72" t="str">
        <x:v>7.6</x:v>
      </x:c>
      <x:c r="B59" s="91" t="str">
        <x:v>위험 사건 예측</x:v>
      </x:c>
      <x:c r="C59" s="15" t="str">
        <x:v>위험 사건 예측 확률·근거·보류 화면</x:v>
      </x:c>
      <x:c r="D59" s="19" t="str">
        <x:v>서종원</x:v>
      </x:c>
      <x:c r="E59" s="21" t="d">
        <x:v>2026-10-29T00:00:00.000Z</x:v>
      </x:c>
      <x:c r="F59" s="21" t="d">
        <x:v>2026-10-30T00:00:00.000Z</x:v>
      </x:c>
      <x:c r="G59" s="25" t="str">
        <x:v>예정</x:v>
      </x:c>
      <x:c r="H59" s="26"/>
      <x:c r="I59" s="19" t="str">
        <x:v>필수</x:v>
      </x:c>
      <x:c r="J59" s="44" t="str">
        <x:f>IF(G59="완료",IF(H59&lt;&gt;1,"진행률 확인",IF(COUNTBLANK(INDEX('완료 기준'!$G$9:$G$77,MATCH($A59,'완료 기준'!$A$9:$A$77,0)))&gt;0,"완료근거 필요","완료 확인")),"")</x:f>
      </x:c>
    </x:row>
    <x:row r="60" ht="48" customHeight="1">
      <x:c r="A60" s="83" t="str">
        <x:v>7.7</x:v>
      </x:c>
      <x:c r="B60" s="85" t="str">
        <x:v>위험 사건 예측</x:v>
      </x:c>
      <x:c r="C60" s="16" t="str">
        <x:v>예측 결과를 검토 기록에 연결</x:v>
      </x:c>
      <x:c r="D60" s="20" t="str">
        <x:v>서종원</x:v>
      </x:c>
      <x:c r="E60" s="22" t="d">
        <x:v>2026-10-30T00:00:00.000Z</x:v>
      </x:c>
      <x:c r="F60" s="22" t="d">
        <x:v>2026-10-30T00:00:00.000Z</x:v>
      </x:c>
      <x:c r="G60" s="25" t="str">
        <x:v>예정</x:v>
      </x:c>
      <x:c r="H60" s="26"/>
      <x:c r="I60" s="20" t="str">
        <x:v>필수</x:v>
      </x:c>
      <x:c r="J60" s="43" t="str">
        <x:f>IF(G60="완료",IF(H60&lt;&gt;1,"진행률 확인",IF(COUNTBLANK(INDEX('완료 기준'!$G$9:$G$77,MATCH($A60,'완료 기준'!$A$9:$A$77,0)))&gt;0,"완료근거 필요","완료 확인")),"")</x:f>
      </x:c>
    </x:row>
    <x:row r="61" ht="48" customHeight="1">
      <x:c r="A61" s="72" t="str">
        <x:v>7.2</x:v>
      </x:c>
      <x:c r="B61" s="91" t="str">
        <x:v>위험 사건 예측</x:v>
      </x:c>
      <x:c r="C61" s="15" t="str">
        <x:v>모델 성능·정보 누출·해석 검증</x:v>
      </x:c>
      <x:c r="D61" s="19" t="str">
        <x:v>김동민</x:v>
      </x:c>
      <x:c r="E61" s="21" t="d">
        <x:v>2026-10-30T00:00:00.000Z</x:v>
      </x:c>
      <x:c r="F61" s="21" t="d">
        <x:v>2026-10-31T00:00:00.000Z</x:v>
      </x:c>
      <x:c r="G61" s="25" t="str">
        <x:v>예정</x:v>
      </x:c>
      <x:c r="H61" s="26"/>
      <x:c r="I61" s="19" t="str">
        <x:v>필수</x:v>
      </x:c>
      <x:c r="J61" s="44" t="str">
        <x:f>IF(G61="완료",IF(H61&lt;&gt;1,"진행률 확인",IF(COUNTBLANK(INDEX('완료 기준'!$G$9:$G$77,MATCH($A61,'완료 기준'!$A$9:$A$77,0)))&gt;0,"완료근거 필요","완료 확인")),"")</x:f>
      </x:c>
    </x:row>
    <x:row r="62" ht="48" customHeight="1">
      <x:c r="A62" s="83" t="str">
        <x:v>7.M7</x:v>
      </x:c>
      <x:c r="B62" s="85" t="str">
        <x:v>위험 사건 예측</x:v>
      </x:c>
      <x:c r="C62" s="16" t="str">
        <x:v>위험 사건 모델·연동 검증 기준 고정</x:v>
      </x:c>
      <x:c r="D62" s="20" t="str">
        <x:v>김동혁</x:v>
      </x:c>
      <x:c r="E62" s="22" t="d">
        <x:v>2026-10-31T00:00:00.000Z</x:v>
      </x:c>
      <x:c r="F62" s="22" t="d">
        <x:v>2026-10-31T00:00:00.000Z</x:v>
      </x:c>
      <x:c r="G62" s="25" t="str">
        <x:v>예정</x:v>
      </x:c>
      <x:c r="H62" s="26"/>
      <x:c r="I62" s="20" t="str">
        <x:v>마일스톤</x:v>
      </x:c>
      <x:c r="J62" s="43" t="str">
        <x:f>IF(G62="완료",IF(H62&lt;&gt;1,"진행률 확인",IF(COUNTBLANK(INDEX('완료 기준'!$G$9:$G$77,MATCH($A62,'완료 기준'!$A$9:$A$77,0)))&gt;0,"완료근거 필요","완료 확인")),"")</x:f>
      </x:c>
    </x:row>
    <x:row r="63" ht="48" customHeight="1">
      <x:c r="A63" s="72" t="str">
        <x:v>5.1</x:v>
      </x:c>
      <x:c r="B63" s="91" t="str">
        <x:v>통합·검증</x:v>
      </x:c>
      <x:c r="C63" s="15" t="str">
        <x:v>접근 제어·인증키·배포 점검</x:v>
      </x:c>
      <x:c r="D63" s="19" t="str">
        <x:v>서종원</x:v>
      </x:c>
      <x:c r="E63" s="21" t="d">
        <x:v>2026-10-31T00:00:00.000Z</x:v>
      </x:c>
      <x:c r="F63" s="21" t="d">
        <x:v>2026-10-31T00:00:00.000Z</x:v>
      </x:c>
      <x:c r="G63" s="25" t="str">
        <x:v>미확인</x:v>
      </x:c>
      <x:c r="H63" s="26"/>
      <x:c r="I63" s="19" t="str">
        <x:v>필수</x:v>
      </x:c>
      <x:c r="J63" s="44" t="str">
        <x:f>IF(G63="완료",IF(H63&lt;&gt;1,"진행률 확인",IF(COUNTBLANK(INDEX('완료 기준'!$G$9:$G$77,MATCH($A63,'완료 기준'!$A$9:$A$77,0)))&gt;0,"완료근거 필요","완료 확인")),"")</x:f>
      </x:c>
    </x:row>
    <x:row r="64" ht="48" customHeight="1">
      <x:c r="A64" s="83" t="str">
        <x:v>5.2</x:v>
      </x:c>
      <x:c r="B64" s="85" t="str">
        <x:v>통합·검증</x:v>
      </x:c>
      <x:c r="C64" s="16" t="str">
        <x:v>선정 기업별 기능·모델 통합 검증</x:v>
      </x:c>
      <x:c r="D64" s="20" t="str">
        <x:v>김동민</x:v>
      </x:c>
      <x:c r="E64" s="22" t="d">
        <x:v>2026-10-31T00:00:00.000Z</x:v>
      </x:c>
      <x:c r="F64" s="22" t="d">
        <x:v>2026-11-01T00:00:00.000Z</x:v>
      </x:c>
      <x:c r="G64" s="25" t="str">
        <x:v>미확인</x:v>
      </x:c>
      <x:c r="H64" s="26"/>
      <x:c r="I64" s="20" t="str">
        <x:v>필수</x:v>
      </x:c>
      <x:c r="J64" s="43" t="str">
        <x:f>IF(G64="완료",IF(H64&lt;&gt;1,"진행률 확인",IF(COUNTBLANK(INDEX('완료 기준'!$G$9:$G$77,MATCH($A64,'완료 기준'!$A$9:$A$77,0)))&gt;0,"완료근거 필요","완료 확인")),"")</x:f>
      </x:c>
    </x:row>
    <x:row r="65" ht="48" customHeight="1">
      <x:c r="A65" s="83" t="str">
        <x:v>5.4</x:v>
      </x:c>
      <x:c r="B65" s="85" t="str">
        <x:v>통합·검증</x:v>
      </x:c>
      <x:c r="C65" s="16" t="str">
        <x:v>현직자 피드백 수렴</x:v>
      </x:c>
      <x:c r="D65" s="20" t="str">
        <x:v>오준탁</x:v>
      </x:c>
      <x:c r="E65" s="22" t="d">
        <x:v>2026-10-31T00:00:00.000Z</x:v>
      </x:c>
      <x:c r="F65" s="22" t="d">
        <x:v>2026-11-01T00:00:00.000Z</x:v>
      </x:c>
      <x:c r="G65" s="25" t="str">
        <x:v>미확인</x:v>
      </x:c>
      <x:c r="H65" s="26"/>
      <x:c r="I65" s="20" t="str">
        <x:v>필수</x:v>
      </x:c>
      <x:c r="J65" s="43" t="str">
        <x:f>IF(G65="완료",IF(H65&lt;&gt;1,"진행률 확인",IF(COUNTBLANK(INDEX('완료 기준'!$G$9:$G$77,MATCH($A65,'완료 기준'!$A$9:$A$77,0)))&gt;0,"완료근거 필요","완료 확인")),"")</x:f>
      </x:c>
    </x:row>
    <x:row r="66" ht="48" customHeight="1">
      <x:c r="A66" s="83" t="str">
        <x:v>5.7</x:v>
      </x:c>
      <x:c r="B66" s="85" t="str">
        <x:v>통합·검증</x:v>
      </x:c>
      <x:c r="C66" s="16" t="str">
        <x:v>규칙 단계·패널·검출 상태 통합 검수</x:v>
      </x:c>
      <x:c r="D66" s="20" t="str">
        <x:v>최수인</x:v>
      </x:c>
      <x:c r="E66" s="22" t="d">
        <x:v>2026-10-31T00:00:00.000Z</x:v>
      </x:c>
      <x:c r="F66" s="22" t="d">
        <x:v>2026-11-01T00:00:00.000Z</x:v>
      </x:c>
      <x:c r="G66" s="25" t="str">
        <x:v>예정</x:v>
      </x:c>
      <x:c r="H66" s="26"/>
      <x:c r="I66" s="20" t="str">
        <x:v>필수</x:v>
      </x:c>
      <x:c r="J66" s="43" t="str">
        <x:f>IF(G66="완료",IF(H66&lt;&gt;1,"진행률 확인",IF(COUNTBLANK(INDEX('완료 기준'!$G$9:$G$77,MATCH($A66,'완료 기준'!$A$9:$A$77,0)))&gt;0,"완료근거 필요","완료 확인")),"")</x:f>
      </x:c>
    </x:row>
    <x:row r="67" ht="48" customHeight="1">
      <x:c r="A67" s="83" t="str">
        <x:v>5.3</x:v>
      </x:c>
      <x:c r="B67" s="85" t="str">
        <x:v>통합·검증</x:v>
      </x:c>
      <x:c r="C67" s="16" t="str">
        <x:v>수강생 비교 실험</x:v>
      </x:c>
      <x:c r="D67" s="20" t="str">
        <x:v>최수인</x:v>
      </x:c>
      <x:c r="E67" s="22" t="d">
        <x:v>2026-11-01T00:00:00.000Z</x:v>
      </x:c>
      <x:c r="F67" s="22" t="d">
        <x:v>2026-11-01T00:00:00.000Z</x:v>
      </x:c>
      <x:c r="G67" s="25" t="str">
        <x:v>미확인</x:v>
      </x:c>
      <x:c r="H67" s="26"/>
      <x:c r="I67" s="20" t="str">
        <x:v>필수</x:v>
      </x:c>
      <x:c r="J67" s="43" t="str">
        <x:f>IF(G67="완료",IF(H67&lt;&gt;1,"진행률 확인",IF(COUNTBLANK(INDEX('완료 기준'!$G$9:$G$77,MATCH($A67,'완료 기준'!$A$9:$A$77,0)))&gt;0,"완료근거 필요","완료 확인")),"")</x:f>
      </x:c>
    </x:row>
    <x:row r="68" ht="48" customHeight="1">
      <x:c r="A68" s="83" t="str">
        <x:v>5.5</x:v>
      </x:c>
      <x:c r="B68" s="85" t="str">
        <x:v>통합·검증</x:v>
      </x:c>
      <x:c r="C68" s="16" t="str">
        <x:v>오류 수정과 재검증</x:v>
      </x:c>
      <x:c r="D68" s="20" t="str">
        <x:v>서종원</x:v>
      </x:c>
      <x:c r="E68" s="22" t="d">
        <x:v>2026-11-02T00:00:00.000Z</x:v>
      </x:c>
      <x:c r="F68" s="22" t="d">
        <x:v>2026-11-02T00:00:00.000Z</x:v>
      </x:c>
      <x:c r="G68" s="25" t="str">
        <x:v>미확인</x:v>
      </x:c>
      <x:c r="H68" s="26"/>
      <x:c r="I68" s="20" t="str">
        <x:v>필수</x:v>
      </x:c>
      <x:c r="J68" s="43" t="str">
        <x:f>IF(G68="완료",IF(H68&lt;&gt;1,"진행률 확인",IF(COUNTBLANK(INDEX('완료 기준'!$G$9:$G$77,MATCH($A68,'완료 기준'!$A$9:$A$77,0)))&gt;0,"완료근거 필요","완료 확인")),"")</x:f>
      </x:c>
    </x:row>
    <x:row r="69" ht="48" customHeight="1">
      <x:c r="A69" s="83" t="str">
        <x:v>5.6</x:v>
      </x:c>
      <x:c r="B69" s="85" t="str">
        <x:v>통합·검증</x:v>
      </x:c>
      <x:c r="C69" s="16" t="str">
        <x:v>검증 보고서와 최종 범위 고정</x:v>
      </x:c>
      <x:c r="D69" s="20" t="str">
        <x:v>김동혁</x:v>
      </x:c>
      <x:c r="E69" s="22" t="d">
        <x:v>2026-11-02T00:00:00.000Z</x:v>
      </x:c>
      <x:c r="F69" s="22" t="d">
        <x:v>2026-11-02T00:00:00.000Z</x:v>
      </x:c>
      <x:c r="G69" s="25" t="str">
        <x:v>미확인</x:v>
      </x:c>
      <x:c r="H69" s="26"/>
      <x:c r="I69" s="20" t="str">
        <x:v>필수</x:v>
      </x:c>
      <x:c r="J69" s="43" t="str">
        <x:f>IF(G69="완료",IF(H69&lt;&gt;1,"진행률 확인",IF(COUNTBLANK(INDEX('완료 기준'!$G$9:$G$77,MATCH($A69,'완료 기준'!$A$9:$A$77,0)))&gt;0,"완료근거 필요","완료 확인")),"")</x:f>
      </x:c>
    </x:row>
    <x:row r="70" ht="48" customHeight="1">
      <x:c r="A70" s="83" t="str">
        <x:v>5.M4</x:v>
      </x:c>
      <x:c r="B70" s="85" t="str">
        <x:v>통합·검증</x:v>
      </x:c>
      <x:c r="C70" s="16" t="str">
        <x:v>핵심 구현과 검증 마감</x:v>
      </x:c>
      <x:c r="D70" s="20" t="str">
        <x:v>김동혁</x:v>
      </x:c>
      <x:c r="E70" s="22" t="d">
        <x:v>2026-11-02T00:00:00.000Z</x:v>
      </x:c>
      <x:c r="F70" s="22" t="d">
        <x:v>2026-11-02T00:00:00.000Z</x:v>
      </x:c>
      <x:c r="G70" s="25" t="str">
        <x:v>미확인</x:v>
      </x:c>
      <x:c r="H70" s="26"/>
      <x:c r="I70" s="20" t="str">
        <x:v>마일스톤</x:v>
      </x:c>
      <x:c r="J70" s="43" t="str">
        <x:f>IF(G70="완료",IF(H70&lt;&gt;1,"진행률 확인",IF(COUNTBLANK(INDEX('완료 기준'!$G$9:$G$77,MATCH($A70,'완료 기준'!$A$9:$A$77,0)))&gt;0,"완료근거 필요","완료 확인")),"")</x:f>
      </x:c>
    </x:row>
    <x:row r="71" ht="48" customHeight="1">
      <x:c r="A71" s="83" t="str">
        <x:v>6.1</x:v>
      </x:c>
      <x:c r="B71" s="85" t="str">
        <x:v>제출·발표</x:v>
      </x:c>
      <x:c r="C71" s="16" t="str">
        <x:v>실행 안내와 데이터 문서 정리</x:v>
      </x:c>
      <x:c r="D71" s="20" t="str">
        <x:v>김동민</x:v>
      </x:c>
      <x:c r="E71" s="22" t="d">
        <x:v>2026-11-03T00:00:00.000Z</x:v>
      </x:c>
      <x:c r="F71" s="22" t="d">
        <x:v>2026-11-03T00:00:00.000Z</x:v>
      </x:c>
      <x:c r="G71" s="25" t="str">
        <x:v>미확인</x:v>
      </x:c>
      <x:c r="H71" s="26"/>
      <x:c r="I71" s="20" t="str">
        <x:v>필수</x:v>
      </x:c>
      <x:c r="J71" s="43" t="str">
        <x:f>IF(G71="완료",IF(H71&lt;&gt;1,"진행률 확인",IF(COUNTBLANK(INDEX('완료 기준'!$G$9:$G$77,MATCH($A71,'완료 기준'!$A$9:$A$77,0)))&gt;0,"완료근거 필요","완료 확인")),"")</x:f>
      </x:c>
    </x:row>
    <x:row r="72" ht="48" customHeight="1">
      <x:c r="A72" s="83" t="str">
        <x:v>6.2</x:v>
      </x:c>
      <x:c r="B72" s="85" t="str">
        <x:v>제출·발표</x:v>
      </x:c>
      <x:c r="C72" s="16" t="str">
        <x:v>발표자료와 스토리 최종 반영</x:v>
      </x:c>
      <x:c r="D72" s="20" t="str">
        <x:v>오준탁</x:v>
      </x:c>
      <x:c r="E72" s="22" t="d">
        <x:v>2026-11-03T00:00:00.000Z</x:v>
      </x:c>
      <x:c r="F72" s="22" t="d">
        <x:v>2026-11-03T00:00:00.000Z</x:v>
      </x:c>
      <x:c r="G72" s="25" t="str">
        <x:v>미확인</x:v>
      </x:c>
      <x:c r="H72" s="26"/>
      <x:c r="I72" s="20" t="str">
        <x:v>필수</x:v>
      </x:c>
      <x:c r="J72" s="43" t="str">
        <x:f>IF(G72="완료",IF(H72&lt;&gt;1,"진행률 확인",IF(COUNTBLANK(INDEX('완료 기준'!$G$9:$G$77,MATCH($A72,'완료 기준'!$A$9:$A$77,0)))&gt;0,"완료근거 필요","완료 확인")),"")</x:f>
      </x:c>
    </x:row>
    <x:row r="73" ht="48" customHeight="1">
      <x:c r="A73" s="83" t="str">
        <x:v>6.3</x:v>
      </x:c>
      <x:c r="B73" s="85" t="str">
        <x:v>제출·발표</x:v>
      </x:c>
      <x:c r="C73" s="16" t="str">
        <x:v>시연 영상과 예비 시연 준비</x:v>
      </x:c>
      <x:c r="D73" s="20" t="str">
        <x:v>서종원</x:v>
      </x:c>
      <x:c r="E73" s="22" t="d">
        <x:v>2026-11-04T00:00:00.000Z</x:v>
      </x:c>
      <x:c r="F73" s="22" t="d">
        <x:v>2026-11-04T00:00:00.000Z</x:v>
      </x:c>
      <x:c r="G73" s="25" t="str">
        <x:v>미확인</x:v>
      </x:c>
      <x:c r="H73" s="26"/>
      <x:c r="I73" s="20" t="str">
        <x:v>필수</x:v>
      </x:c>
      <x:c r="J73" s="43" t="str">
        <x:f>IF(G73="완료",IF(H73&lt;&gt;1,"진행률 확인",IF(COUNTBLANK(INDEX('완료 기준'!$G$9:$G$77,MATCH($A73,'완료 기준'!$A$9:$A$77,0)))&gt;0,"완료근거 필요","완료 확인")),"")</x:f>
      </x:c>
    </x:row>
    <x:row r="74" ht="48" customHeight="1">
      <x:c r="A74" s="83" t="str">
        <x:v>6.4</x:v>
      </x:c>
      <x:c r="B74" s="85" t="str">
        <x:v>제출·발표</x:v>
      </x:c>
      <x:c r="C74" s="16" t="str">
        <x:v>제출 파일과 재현성 점검</x:v>
      </x:c>
      <x:c r="D74" s="20" t="str">
        <x:v>김동혁</x:v>
      </x:c>
      <x:c r="E74" s="22" t="d">
        <x:v>2026-11-04T00:00:00.000Z</x:v>
      </x:c>
      <x:c r="F74" s="22" t="d">
        <x:v>2026-11-04T00:00:00.000Z</x:v>
      </x:c>
      <x:c r="G74" s="25" t="str">
        <x:v>미확인</x:v>
      </x:c>
      <x:c r="H74" s="26"/>
      <x:c r="I74" s="20" t="str">
        <x:v>필수</x:v>
      </x:c>
      <x:c r="J74" s="43" t="str">
        <x:f>IF(G74="완료",IF(H74&lt;&gt;1,"진행률 확인",IF(COUNTBLANK(INDEX('완료 기준'!$G$9:$G$77,MATCH($A74,'완료 기준'!$A$9:$A$77,0)))&gt;0,"완료근거 필요","완료 확인")),"")</x:f>
      </x:c>
    </x:row>
    <x:row r="75" ht="48" customHeight="1">
      <x:c r="A75" s="83" t="str">
        <x:v>6.5</x:v>
      </x:c>
      <x:c r="B75" s="85" t="str">
        <x:v>제출·발표</x:v>
      </x:c>
      <x:c r="C75" s="16" t="str">
        <x:v>발표 리허설과 질의응답 준비</x:v>
      </x:c>
      <x:c r="D75" s="20" t="str">
        <x:v>오준탁</x:v>
      </x:c>
      <x:c r="E75" s="22" t="d">
        <x:v>2026-11-04T00:00:00.000Z</x:v>
      </x:c>
      <x:c r="F75" s="22" t="d">
        <x:v>2026-11-04T00:00:00.000Z</x:v>
      </x:c>
      <x:c r="G75" s="25" t="str">
        <x:v>미확인</x:v>
      </x:c>
      <x:c r="H75" s="26"/>
      <x:c r="I75" s="20" t="str">
        <x:v>필수</x:v>
      </x:c>
      <x:c r="J75" s="43" t="str">
        <x:f>IF(G75="완료",IF(H75&lt;&gt;1,"진행률 확인",IF(COUNTBLANK(INDEX('완료 기준'!$G$9:$G$77,MATCH($A75,'완료 기준'!$A$9:$A$77,0)))&gt;0,"완료근거 필요","완료 확인")),"")</x:f>
      </x:c>
    </x:row>
    <x:row r="76" ht="48" customHeight="1">
      <x:c r="A76" s="83" t="str">
        <x:v>6.M5</x:v>
      </x:c>
      <x:c r="B76" s="85" t="str">
        <x:v>제출·발표</x:v>
      </x:c>
      <x:c r="C76" s="16" t="str">
        <x:v>최종 산출물 제출</x:v>
      </x:c>
      <x:c r="D76" s="20" t="str">
        <x:v>김동혁</x:v>
      </x:c>
      <x:c r="E76" s="22" t="d">
        <x:v>2026-11-05T00:00:00.000Z</x:v>
      </x:c>
      <x:c r="F76" s="22" t="d">
        <x:v>2026-11-05T00:00:00.000Z</x:v>
      </x:c>
      <x:c r="G76" s="25" t="str">
        <x:v>미확인</x:v>
      </x:c>
      <x:c r="H76" s="26"/>
      <x:c r="I76" s="20" t="str">
        <x:v>마일스톤</x:v>
      </x:c>
      <x:c r="J76" s="43" t="str">
        <x:f>IF(G76="완료",IF(H76&lt;&gt;1,"진행률 확인",IF(COUNTBLANK(INDEX('완료 기준'!$G$9:$G$77,MATCH($A76,'완료 기준'!$A$9:$A$77,0)))&gt;0,"완료근거 필요","완료 확인")),"")</x:f>
      </x:c>
    </x:row>
    <x:row r="77" ht="48" customHeight="1">
      <x:c r="A77" s="83" t="str">
        <x:v>6.M6</x:v>
      </x:c>
      <x:c r="B77" s="85" t="str">
        <x:v>제출·발표</x:v>
      </x:c>
      <x:c r="C77" s="16" t="str">
        <x:v>프로젝트 발표</x:v>
      </x:c>
      <x:c r="D77" s="20" t="str">
        <x:v>오준탁</x:v>
      </x:c>
      <x:c r="E77" s="22" t="d">
        <x:v>2026-11-05T00:00:00.000Z</x:v>
      </x:c>
      <x:c r="F77" s="22" t="d">
        <x:v>2026-11-05T00:00:00.000Z</x:v>
      </x:c>
      <x:c r="G77" s="25" t="str">
        <x:v>미확인</x:v>
      </x:c>
      <x:c r="H77" s="26"/>
      <x:c r="I77" s="20" t="str">
        <x:v>마일스톤</x:v>
      </x:c>
      <x:c r="J77" s="43" t="str">
        <x:f>IF(G77="완료",IF(H77&lt;&gt;1,"진행률 확인",IF(COUNTBLANK(INDEX('완료 기준'!$G$9:$G$77,MATCH($A77,'완료 기준'!$A$9:$A$77,0)))&gt;0,"완료근거 필요","완료 확인")),"")</x:f>
      </x:c>
    </x:row>
  </x:sheetData>
  <x:conditionalFormatting sqref="G9:G64">
    <x:cfRule type="expression" dxfId="0" priority="1">
      <x:formula>$G9="완료"</x:formula>
    </x:cfRule>
    <x:cfRule type="expression" dxfId="1" priority="2">
      <x:formula>$G9="진행중"</x:formula>
    </x:cfRule>
    <x:cfRule type="expression" dxfId="2" priority="3">
      <x:formula>$G9="검토중"</x:formula>
    </x:cfRule>
    <x:cfRule type="expression" dxfId="3" priority="4">
      <x:formula>$G9="예정"</x:formula>
    </x:cfRule>
    <x:cfRule type="expression" dxfId="4" priority="5">
      <x:formula>$G9="미확인"</x:formula>
    </x:cfRule>
    <x:cfRule type="expression" dxfId="5" priority="6">
      <x:formula>$G9="보류"</x:formula>
    </x:cfRule>
    <x:cfRule type="expression" dxfId="6" priority="7">
      <x:formula>$G9="제외"</x:formula>
    </x:cfRule>
  </x:conditionalFormatting>
  <x:conditionalFormatting sqref="J9:J64">
    <x:cfRule type="expression" dxfId="7" priority="8">
      <x:formula>AND($J9&lt;&gt;"",$J9&lt;&gt;"완료 확인")</x:formula>
    </x:cfRule>
  </x:conditionalFormatting>
  <x:conditionalFormatting sqref="G65:G77">
    <x:cfRule type="containsText" dxfId="21" priority="9" operator="containsText" text="완료"/>
    <x:cfRule type="containsText" dxfId="22" priority="10" operator="containsText" text="미확인"/>
    <x:cfRule type="containsText" dxfId="23" priority="11" operator="containsText" text="예정"/>
  </x:conditionalFormatting>
  <x:dataValidations count="3">
    <x:dataValidation type="list" sqref="D9:D77">
      <x:formula1>"김동혁,김동민,서종원,오준탁,최수인"</x:formula1>
    </x:dataValidation>
    <x:dataValidation type="list" sqref="G9:G77">
      <x:formula1>"미확인,예정,진행중,검토중,완료,보류,제외,조건대기"</x:formula1>
    </x:dataValidation>
    <x:dataValidation type="decimal" operator="between" sqref="H9:H77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2801566b95b45b6"/>
  </x:tableParts>
</x:worksheet>
</file>

<file path=xl/worksheets/sheet3.xml><?xml version="1.0" encoding="utf-8"?>
<x:worksheet xmlns:x="http://schemas.openxmlformats.org/spreadsheetml/2006/main">
  <x:sheetPr>
    <x:tabColor rgb="FFA3B5C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7.75" hidden="0" customWidth="1"/>
    <x:col min="2" max="2" width="42" hidden="0" customWidth="1"/>
    <x:col min="3" max="3" width="9.75" hidden="0" customWidth="1"/>
    <x:col min="4" max="4" width="3.880000114440918" hidden="0" customWidth="1"/>
    <x:col min="5" max="5" width="3.880000114440918" hidden="0" customWidth="1"/>
    <x:col min="6" max="6" width="3.880000114440918" hidden="0" customWidth="1"/>
    <x:col min="7" max="7" width="3.880000114440918" hidden="0" customWidth="1"/>
    <x:col min="8" max="8" width="3.880000114440918" hidden="0" customWidth="1"/>
    <x:col min="9" max="9" width="3.880000114440918" hidden="0" customWidth="1"/>
    <x:col min="10" max="10" width="3.880000114440918" hidden="0" customWidth="1"/>
    <x:col min="11" max="11" width="3.880000114440918" hidden="0" customWidth="1"/>
    <x:col min="12" max="12" width="3.880000114440918" hidden="0" customWidth="1"/>
    <x:col min="13" max="13" width="3.880000114440918" hidden="0" customWidth="1"/>
    <x:col min="14" max="14" width="3.880000114440918" hidden="0" customWidth="1"/>
    <x:col min="15" max="15" width="3.880000114440918" hidden="0" customWidth="1"/>
    <x:col min="16" max="16" width="3.880000114440918" hidden="0" customWidth="1"/>
    <x:col min="17" max="17" width="3.880000114440918" hidden="0" customWidth="1"/>
    <x:col min="18" max="18" width="3.880000114440918" hidden="0" customWidth="1"/>
    <x:col min="19" max="19" width="3.880000114440918" hidden="0" customWidth="1"/>
  </x:cols>
  <x:sheetData>
    <x:row r="1" ht="1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4" customHeight="1">
      <x:c r="A2" s="3" t="str">
        <x:v>LoanSight AI 일정 v1.1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15" customHeight="1">
      <x:c r="A4" s="6" t="str">
        <x:v>2026년 10월 21일~11월 5일 계획. 셀 색은 작업 관리의 시작·마감일을 따라 바뀝니다.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15" customHeight="1">
      <x:c r="A5" s="6" t="str">
        <x:v>파랑은 작업 기간, 초록은 완료 작업, 보라는 마일스톤입니다. 옅은 회색 열은 주말입니다.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15" customHeight="1">
      <x:c r="A6" s="6" t="str">
        <x:v>달력일 기준 계획입니다. 교육 일정과 팀 가용 시간을 확인한 뒤 세부 날짜를 확정합니다.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6" customHeight="1">
      <x:c r="A7" s="2"/>
      <x:c r="B7" s="2"/>
      <x:c r="C7" s="2"/>
      <x:c r="D7" s="51" t="str">
        <x:v>10월</x:v>
      </x:c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 t="str">
        <x:v>11월</x:v>
      </x:c>
      <x:c r="P7" s="51"/>
      <x:c r="Q7" s="51"/>
      <x:c r="R7" s="51"/>
      <x:c r="S7" s="51"/>
    </x:row>
    <x:row r="8" ht="31" customHeight="1">
      <x:c r="A8" s="11" t="str">
        <x:v>ID</x:v>
      </x:c>
      <x:c r="B8" s="12" t="str">
        <x:v>작업</x:v>
      </x:c>
      <x:c r="C8" s="12" t="str">
        <x:v>담당</x:v>
      </x:c>
      <x:c r="D8" s="52" t="d">
        <x:v>2026-10-21T00:00:00.000Z</x:v>
      </x:c>
      <x:c r="E8" s="52" t="d">
        <x:v>2026-10-22T00:00:00.000Z</x:v>
      </x:c>
      <x:c r="F8" s="52" t="d">
        <x:v>2026-10-23T00:00:00.000Z</x:v>
      </x:c>
      <x:c r="G8" s="57" t="d">
        <x:v>2026-10-24T00:00:00.000Z</x:v>
      </x:c>
      <x:c r="H8" s="57" t="d">
        <x:v>2026-10-25T00:00:00.000Z</x:v>
      </x:c>
      <x:c r="I8" s="52" t="d">
        <x:v>2026-10-26T00:00:00.000Z</x:v>
      </x:c>
      <x:c r="J8" s="52" t="d">
        <x:v>2026-10-27T00:00:00.000Z</x:v>
      </x:c>
      <x:c r="K8" s="52" t="d">
        <x:v>2026-10-28T00:00:00.000Z</x:v>
      </x:c>
      <x:c r="L8" s="52" t="d">
        <x:v>2026-10-29T00:00:00.000Z</x:v>
      </x:c>
      <x:c r="M8" s="52" t="d">
        <x:v>2026-10-30T00:00:00.000Z</x:v>
      </x:c>
      <x:c r="N8" s="57" t="d">
        <x:v>2026-10-31T00:00:00.000Z</x:v>
      </x:c>
      <x:c r="O8" s="57" t="d">
        <x:v>2026-11-01T00:00:00.000Z</x:v>
      </x:c>
      <x:c r="P8" s="52" t="d">
        <x:v>2026-11-02T00:00:00.000Z</x:v>
      </x:c>
      <x:c r="Q8" s="52" t="d">
        <x:v>2026-11-03T00:00:00.000Z</x:v>
      </x:c>
      <x:c r="R8" s="52" t="d">
        <x:v>2026-11-04T00:00:00.000Z</x:v>
      </x:c>
      <x:c r="S8" s="53" t="d">
        <x:v>2026-11-05T00:00:00.000Z</x:v>
      </x:c>
    </x:row>
    <x:row r="9" ht="48" customHeight="1">
      <x:c r="A9" s="72" t="str">
        <x:f>'작업 관리'!A9</x:f>
        <x:v>1.1</x:v>
      </x:c>
      <x:c r="B9" s="15" t="str">
        <x:f>'작업 관리'!C9</x:f>
        <x:v>기획안 v1.0 확정본 정리</x:v>
      </x:c>
      <x:c r="C9" s="2" t="str">
        <x:f>'작업 관리'!D9</x:f>
        <x:v>김동혁</x:v>
      </x:c>
      <x:c r="D9" s="54" t="n">
        <x:f>IF(AND(D$8&gt;='작업 관리'!$E9,D$8&lt;='작업 관리'!$F9),IF('작업 관리'!$I9="마일스톤",3,IF('작업 관리'!$G9="완료",2,1)),"")</x:f>
        <x:v>2</x:v>
      </x:c>
      <x:c r="E9" s="54" t="str">
        <x:f>IF(AND(E$8&gt;='작업 관리'!$E9,E$8&lt;='작업 관리'!$F9),IF('작업 관리'!$I9="마일스톤",3,IF('작업 관리'!$G9="완료",2,1)),"")</x:f>
      </x:c>
      <x:c r="F9" s="54" t="str">
        <x:f>IF(AND(F$8&gt;='작업 관리'!$E9,F$8&lt;='작업 관리'!$F9),IF('작업 관리'!$I9="마일스톤",3,IF('작업 관리'!$G9="완료",2,1)),"")</x:f>
      </x:c>
      <x:c r="G9" s="56" t="str">
        <x:f>IF(AND(G$8&gt;='작업 관리'!$E9,G$8&lt;='작업 관리'!$F9),IF('작업 관리'!$I9="마일스톤",3,IF('작업 관리'!$G9="완료",2,1)),"")</x:f>
      </x:c>
      <x:c r="H9" s="56" t="str">
        <x:f>IF(AND(H$8&gt;='작업 관리'!$E9,H$8&lt;='작업 관리'!$F9),IF('작업 관리'!$I9="마일스톤",3,IF('작업 관리'!$G9="완료",2,1)),"")</x:f>
      </x:c>
      <x:c r="I9" s="54" t="str">
        <x:f>IF(AND(I$8&gt;='작업 관리'!$E9,I$8&lt;='작업 관리'!$F9),IF('작업 관리'!$I9="마일스톤",3,IF('작업 관리'!$G9="완료",2,1)),"")</x:f>
      </x:c>
      <x:c r="J9" s="54" t="str">
        <x:f>IF(AND(J$8&gt;='작업 관리'!$E9,J$8&lt;='작업 관리'!$F9),IF('작업 관리'!$I9="마일스톤",3,IF('작업 관리'!$G9="완료",2,1)),"")</x:f>
      </x:c>
      <x:c r="K9" s="54" t="str">
        <x:f>IF(AND(K$8&gt;='작업 관리'!$E9,K$8&lt;='작업 관리'!$F9),IF('작업 관리'!$I9="마일스톤",3,IF('작업 관리'!$G9="완료",2,1)),"")</x:f>
      </x:c>
      <x:c r="L9" s="54" t="str">
        <x:f>IF(AND(L$8&gt;='작업 관리'!$E9,L$8&lt;='작업 관리'!$F9),IF('작업 관리'!$I9="마일스톤",3,IF('작업 관리'!$G9="완료",2,1)),"")</x:f>
      </x:c>
      <x:c r="M9" s="54" t="str">
        <x:f>IF(AND(M$8&gt;='작업 관리'!$E9,M$8&lt;='작업 관리'!$F9),IF('작업 관리'!$I9="마일스톤",3,IF('작업 관리'!$G9="완료",2,1)),"")</x:f>
      </x:c>
      <x:c r="N9" s="56" t="str">
        <x:f>IF(AND(N$8&gt;='작업 관리'!$E9,N$8&lt;='작업 관리'!$F9),IF('작업 관리'!$I9="마일스톤",3,IF('작업 관리'!$G9="완료",2,1)),"")</x:f>
      </x:c>
      <x:c r="O9" s="56" t="str">
        <x:f>IF(AND(O$8&gt;='작업 관리'!$E9,O$8&lt;='작업 관리'!$F9),IF('작업 관리'!$I9="마일스톤",3,IF('작업 관리'!$G9="완료",2,1)),"")</x:f>
      </x:c>
      <x:c r="P9" s="54" t="str">
        <x:f>IF(AND(P$8&gt;='작업 관리'!$E9,P$8&lt;='작업 관리'!$F9),IF('작업 관리'!$I9="마일스톤",3,IF('작업 관리'!$G9="완료",2,1)),"")</x:f>
      </x:c>
      <x:c r="Q9" s="54" t="str">
        <x:f>IF(AND(Q$8&gt;='작업 관리'!$E9,Q$8&lt;='작업 관리'!$F9),IF('작업 관리'!$I9="마일스톤",3,IF('작업 관리'!$G9="완료",2,1)),"")</x:f>
      </x:c>
      <x:c r="R9" s="54" t="str">
        <x:f>IF(AND(R$8&gt;='작업 관리'!$E9,R$8&lt;='작업 관리'!$F9),IF('작업 관리'!$I9="마일스톤",3,IF('작업 관리'!$G9="완료",2,1)),"")</x:f>
      </x:c>
      <x:c r="S9" s="54" t="str">
        <x:f>IF(AND(S$8&gt;='작업 관리'!$E9,S$8&lt;='작업 관리'!$F9),IF('작업 관리'!$I9="마일스톤",3,IF('작업 관리'!$G9="완료",2,1)),"")</x:f>
      </x:c>
    </x:row>
    <x:row r="10" ht="48" customHeight="1">
      <x:c r="A10" s="83" t="str">
        <x:f>'작업 관리'!A10</x:f>
        <x:v>1.2</x:v>
      </x:c>
      <x:c r="B10" s="16" t="str">
        <x:f>'작업 관리'!C10</x:f>
        <x:v>기획 발표자료 v0.2 초안 보존</x:v>
      </x:c>
      <x:c r="C10" s="14" t="str">
        <x:f>'작업 관리'!D10</x:f>
        <x:v>오준탁</x:v>
      </x:c>
      <x:c r="D10" s="55" t="n">
        <x:f>IF(AND(D$8&gt;='작업 관리'!$E10,D$8&lt;='작업 관리'!$F10),IF('작업 관리'!$I10="마일스톤",3,IF('작업 관리'!$G10="완료",2,1)),"")</x:f>
        <x:v>2</x:v>
      </x:c>
      <x:c r="E10" s="55" t="str">
        <x:f>IF(AND(E$8&gt;='작업 관리'!$E10,E$8&lt;='작업 관리'!$F10),IF('작업 관리'!$I10="마일스톤",3,IF('작업 관리'!$G10="완료",2,1)),"")</x:f>
      </x:c>
      <x:c r="F10" s="55" t="str">
        <x:f>IF(AND(F$8&gt;='작업 관리'!$E10,F$8&lt;='작업 관리'!$F10),IF('작업 관리'!$I10="마일스톤",3,IF('작업 관리'!$G10="완료",2,1)),"")</x:f>
      </x:c>
      <x:c r="G10" s="56" t="str">
        <x:f>IF(AND(G$8&gt;='작업 관리'!$E10,G$8&lt;='작업 관리'!$F10),IF('작업 관리'!$I10="마일스톤",3,IF('작업 관리'!$G10="완료",2,1)),"")</x:f>
      </x:c>
      <x:c r="H10" s="56" t="str">
        <x:f>IF(AND(H$8&gt;='작업 관리'!$E10,H$8&lt;='작업 관리'!$F10),IF('작업 관리'!$I10="마일스톤",3,IF('작업 관리'!$G10="완료",2,1)),"")</x:f>
      </x:c>
      <x:c r="I10" s="55" t="str">
        <x:f>IF(AND(I$8&gt;='작업 관리'!$E10,I$8&lt;='작업 관리'!$F10),IF('작업 관리'!$I10="마일스톤",3,IF('작업 관리'!$G10="완료",2,1)),"")</x:f>
      </x:c>
      <x:c r="J10" s="55" t="str">
        <x:f>IF(AND(J$8&gt;='작업 관리'!$E10,J$8&lt;='작업 관리'!$F10),IF('작업 관리'!$I10="마일스톤",3,IF('작업 관리'!$G10="완료",2,1)),"")</x:f>
      </x:c>
      <x:c r="K10" s="55" t="str">
        <x:f>IF(AND(K$8&gt;='작업 관리'!$E10,K$8&lt;='작업 관리'!$F10),IF('작업 관리'!$I10="마일스톤",3,IF('작업 관리'!$G10="완료",2,1)),"")</x:f>
      </x:c>
      <x:c r="L10" s="55" t="str">
        <x:f>IF(AND(L$8&gt;='작업 관리'!$E10,L$8&lt;='작업 관리'!$F10),IF('작업 관리'!$I10="마일스톤",3,IF('작업 관리'!$G10="완료",2,1)),"")</x:f>
      </x:c>
      <x:c r="M10" s="55" t="str">
        <x:f>IF(AND(M$8&gt;='작업 관리'!$E10,M$8&lt;='작업 관리'!$F10),IF('작업 관리'!$I10="마일스톤",3,IF('작업 관리'!$G10="완료",2,1)),"")</x:f>
      </x:c>
      <x:c r="N10" s="56" t="str">
        <x:f>IF(AND(N$8&gt;='작업 관리'!$E10,N$8&lt;='작업 관리'!$F10),IF('작업 관리'!$I10="마일스톤",3,IF('작업 관리'!$G10="완료",2,1)),"")</x:f>
      </x:c>
      <x:c r="O10" s="56" t="str">
        <x:f>IF(AND(O$8&gt;='작업 관리'!$E10,O$8&lt;='작업 관리'!$F10),IF('작업 관리'!$I10="마일스톤",3,IF('작업 관리'!$G10="완료",2,1)),"")</x:f>
      </x:c>
      <x:c r="P10" s="55" t="str">
        <x:f>IF(AND(P$8&gt;='작업 관리'!$E10,P$8&lt;='작업 관리'!$F10),IF('작업 관리'!$I10="마일스톤",3,IF('작업 관리'!$G10="완료",2,1)),"")</x:f>
      </x:c>
      <x:c r="Q10" s="55" t="str">
        <x:f>IF(AND(Q$8&gt;='작업 관리'!$E10,Q$8&lt;='작업 관리'!$F10),IF('작업 관리'!$I10="마일스톤",3,IF('작업 관리'!$G10="완료",2,1)),"")</x:f>
      </x:c>
      <x:c r="R10" s="55" t="str">
        <x:f>IF(AND(R$8&gt;='작업 관리'!$E10,R$8&lt;='작업 관리'!$F10),IF('작업 관리'!$I10="마일스톤",3,IF('작업 관리'!$G10="완료",2,1)),"")</x:f>
      </x:c>
      <x:c r="S10" s="55" t="str">
        <x:f>IF(AND(S$8&gt;='작업 관리'!$E10,S$8&lt;='작업 관리'!$F10),IF('작업 관리'!$I10="마일스톤",3,IF('작업 관리'!$G10="완료",2,1)),"")</x:f>
      </x:c>
    </x:row>
    <x:row r="11" ht="48" customHeight="1">
      <x:c r="A11" s="72" t="str">
        <x:f>'작업 관리'!A11</x:f>
        <x:v>1.3</x:v>
      </x:c>
      <x:c r="B11" s="15" t="str">
        <x:f>'작업 관리'!C11</x:f>
        <x:v>범위와 역할 분담 합의</x:v>
      </x:c>
      <x:c r="C11" s="2" t="str">
        <x:f>'작업 관리'!D11</x:f>
        <x:v>김동혁</x:v>
      </x:c>
      <x:c r="D11" s="54" t="str">
        <x:f>IF(AND(D$8&gt;='작업 관리'!$E11,D$8&lt;='작업 관리'!$F11),IF('작업 관리'!$I11="마일스톤",3,IF('작업 관리'!$G11="완료",2,1)),"")</x:f>
      </x:c>
      <x:c r="E11" s="54" t="n">
        <x:f>IF(AND(E$8&gt;='작업 관리'!$E11,E$8&lt;='작업 관리'!$F11),IF('작업 관리'!$I11="마일스톤",3,IF('작업 관리'!$G11="완료",2,1)),"")</x:f>
        <x:v>1</x:v>
      </x:c>
      <x:c r="F11" s="54" t="str">
        <x:f>IF(AND(F$8&gt;='작업 관리'!$E11,F$8&lt;='작업 관리'!$F11),IF('작업 관리'!$I11="마일스톤",3,IF('작업 관리'!$G11="완료",2,1)),"")</x:f>
      </x:c>
      <x:c r="G11" s="56" t="str">
        <x:f>IF(AND(G$8&gt;='작업 관리'!$E11,G$8&lt;='작업 관리'!$F11),IF('작업 관리'!$I11="마일스톤",3,IF('작업 관리'!$G11="완료",2,1)),"")</x:f>
      </x:c>
      <x:c r="H11" s="56" t="str">
        <x:f>IF(AND(H$8&gt;='작업 관리'!$E11,H$8&lt;='작업 관리'!$F11),IF('작업 관리'!$I11="마일스톤",3,IF('작업 관리'!$G11="완료",2,1)),"")</x:f>
      </x:c>
      <x:c r="I11" s="54" t="str">
        <x:f>IF(AND(I$8&gt;='작업 관리'!$E11,I$8&lt;='작업 관리'!$F11),IF('작업 관리'!$I11="마일스톤",3,IF('작업 관리'!$G11="완료",2,1)),"")</x:f>
      </x:c>
      <x:c r="J11" s="54" t="str">
        <x:f>IF(AND(J$8&gt;='작업 관리'!$E11,J$8&lt;='작업 관리'!$F11),IF('작업 관리'!$I11="마일스톤",3,IF('작업 관리'!$G11="완료",2,1)),"")</x:f>
      </x:c>
      <x:c r="K11" s="54" t="str">
        <x:f>IF(AND(K$8&gt;='작업 관리'!$E11,K$8&lt;='작업 관리'!$F11),IF('작업 관리'!$I11="마일스톤",3,IF('작업 관리'!$G11="완료",2,1)),"")</x:f>
      </x:c>
      <x:c r="L11" s="54" t="str">
        <x:f>IF(AND(L$8&gt;='작업 관리'!$E11,L$8&lt;='작업 관리'!$F11),IF('작업 관리'!$I11="마일스톤",3,IF('작업 관리'!$G11="완료",2,1)),"")</x:f>
      </x:c>
      <x:c r="M11" s="54" t="str">
        <x:f>IF(AND(M$8&gt;='작업 관리'!$E11,M$8&lt;='작업 관리'!$F11),IF('작업 관리'!$I11="마일스톤",3,IF('작업 관리'!$G11="완료",2,1)),"")</x:f>
      </x:c>
      <x:c r="N11" s="56" t="str">
        <x:f>IF(AND(N$8&gt;='작업 관리'!$E11,N$8&lt;='작업 관리'!$F11),IF('작업 관리'!$I11="마일스톤",3,IF('작업 관리'!$G11="완료",2,1)),"")</x:f>
      </x:c>
      <x:c r="O11" s="56" t="str">
        <x:f>IF(AND(O$8&gt;='작업 관리'!$E11,O$8&lt;='작업 관리'!$F11),IF('작업 관리'!$I11="마일스톤",3,IF('작업 관리'!$G11="완료",2,1)),"")</x:f>
      </x:c>
      <x:c r="P11" s="54" t="str">
        <x:f>IF(AND(P$8&gt;='작업 관리'!$E11,P$8&lt;='작업 관리'!$F11),IF('작업 관리'!$I11="마일스톤",3,IF('작업 관리'!$G11="완료",2,1)),"")</x:f>
      </x:c>
      <x:c r="Q11" s="54" t="str">
        <x:f>IF(AND(Q$8&gt;='작업 관리'!$E11,Q$8&lt;='작업 관리'!$F11),IF('작업 관리'!$I11="마일스톤",3,IF('작업 관리'!$G11="완료",2,1)),"")</x:f>
      </x:c>
      <x:c r="R11" s="54" t="str">
        <x:f>IF(AND(R$8&gt;='작업 관리'!$E11,R$8&lt;='작업 관리'!$F11),IF('작업 관리'!$I11="마일스톤",3,IF('작업 관리'!$G11="완료",2,1)),"")</x:f>
      </x:c>
      <x:c r="S11" s="54" t="str">
        <x:f>IF(AND(S$8&gt;='작업 관리'!$E11,S$8&lt;='작업 관리'!$F11),IF('작업 관리'!$I11="마일스톤",3,IF('작업 관리'!$G11="완료",2,1)),"")</x:f>
      </x:c>
    </x:row>
    <x:row r="12" ht="48" customHeight="1">
      <x:c r="A12" s="83" t="str">
        <x:f>'작업 관리'!A12</x:f>
        <x:v>1.4</x:v>
      </x:c>
      <x:c r="B12" s="16" t="str">
        <x:f>'작업 관리'!C12</x:f>
        <x:v>확정 4개 업종과 수집 범위 점검</x:v>
      </x:c>
      <x:c r="C12" s="14" t="str">
        <x:f>'작업 관리'!D12</x:f>
        <x:v>김동민</x:v>
      </x:c>
      <x:c r="D12" s="55" t="str">
        <x:f>IF(AND(D$8&gt;='작업 관리'!$E12,D$8&lt;='작업 관리'!$F12),IF('작업 관리'!$I12="마일스톤",3,IF('작업 관리'!$G12="완료",2,1)),"")</x:f>
      </x:c>
      <x:c r="E12" s="55" t="n">
        <x:f>IF(AND(E$8&gt;='작업 관리'!$E12,E$8&lt;='작업 관리'!$F12),IF('작업 관리'!$I12="마일스톤",3,IF('작업 관리'!$G12="완료",2,1)),"")</x:f>
        <x:v>1</x:v>
      </x:c>
      <x:c r="F12" s="55" t="n">
        <x:f>IF(AND(F$8&gt;='작업 관리'!$E12,F$8&lt;='작업 관리'!$F12),IF('작업 관리'!$I12="마일스톤",3,IF('작업 관리'!$G12="완료",2,1)),"")</x:f>
        <x:v>1</x:v>
      </x:c>
      <x:c r="G12" s="56" t="str">
        <x:f>IF(AND(G$8&gt;='작업 관리'!$E12,G$8&lt;='작업 관리'!$F12),IF('작업 관리'!$I12="마일스톤",3,IF('작업 관리'!$G12="완료",2,1)),"")</x:f>
      </x:c>
      <x:c r="H12" s="56" t="str">
        <x:f>IF(AND(H$8&gt;='작업 관리'!$E12,H$8&lt;='작업 관리'!$F12),IF('작업 관리'!$I12="마일스톤",3,IF('작업 관리'!$G12="완료",2,1)),"")</x:f>
      </x:c>
      <x:c r="I12" s="55" t="str">
        <x:f>IF(AND(I$8&gt;='작업 관리'!$E12,I$8&lt;='작업 관리'!$F12),IF('작업 관리'!$I12="마일스톤",3,IF('작업 관리'!$G12="완료",2,1)),"")</x:f>
      </x:c>
      <x:c r="J12" s="55" t="str">
        <x:f>IF(AND(J$8&gt;='작업 관리'!$E12,J$8&lt;='작업 관리'!$F12),IF('작업 관리'!$I12="마일스톤",3,IF('작업 관리'!$G12="완료",2,1)),"")</x:f>
      </x:c>
      <x:c r="K12" s="55" t="str">
        <x:f>IF(AND(K$8&gt;='작업 관리'!$E12,K$8&lt;='작업 관리'!$F12),IF('작업 관리'!$I12="마일스톤",3,IF('작업 관리'!$G12="완료",2,1)),"")</x:f>
      </x:c>
      <x:c r="L12" s="55" t="str">
        <x:f>IF(AND(L$8&gt;='작업 관리'!$E12,L$8&lt;='작업 관리'!$F12),IF('작업 관리'!$I12="마일스톤",3,IF('작업 관리'!$G12="완료",2,1)),"")</x:f>
      </x:c>
      <x:c r="M12" s="55" t="str">
        <x:f>IF(AND(M$8&gt;='작업 관리'!$E12,M$8&lt;='작업 관리'!$F12),IF('작업 관리'!$I12="마일스톤",3,IF('작업 관리'!$G12="완료",2,1)),"")</x:f>
      </x:c>
      <x:c r="N12" s="56" t="str">
        <x:f>IF(AND(N$8&gt;='작업 관리'!$E12,N$8&lt;='작업 관리'!$F12),IF('작업 관리'!$I12="마일스톤",3,IF('작업 관리'!$G12="완료",2,1)),"")</x:f>
      </x:c>
      <x:c r="O12" s="56" t="str">
        <x:f>IF(AND(O$8&gt;='작업 관리'!$E12,O$8&lt;='작업 관리'!$F12),IF('작업 관리'!$I12="마일스톤",3,IF('작업 관리'!$G12="완료",2,1)),"")</x:f>
      </x:c>
      <x:c r="P12" s="55" t="str">
        <x:f>IF(AND(P$8&gt;='작업 관리'!$E12,P$8&lt;='작업 관리'!$F12),IF('작업 관리'!$I12="마일스톤",3,IF('작업 관리'!$G12="완료",2,1)),"")</x:f>
      </x:c>
      <x:c r="Q12" s="55" t="str">
        <x:f>IF(AND(Q$8&gt;='작업 관리'!$E12,Q$8&lt;='작업 관리'!$F12),IF('작업 관리'!$I12="마일스톤",3,IF('작업 관리'!$G12="완료",2,1)),"")</x:f>
      </x:c>
      <x:c r="R12" s="55" t="str">
        <x:f>IF(AND(R$8&gt;='작업 관리'!$E12,R$8&lt;='작업 관리'!$F12),IF('작업 관리'!$I12="마일스톤",3,IF('작업 관리'!$G12="완료",2,1)),"")</x:f>
      </x:c>
      <x:c r="S12" s="55" t="str">
        <x:f>IF(AND(S$8&gt;='작업 관리'!$E12,S$8&lt;='작업 관리'!$F12),IF('작업 관리'!$I12="마일스톤",3,IF('작업 관리'!$G12="완료",2,1)),"")</x:f>
      </x:c>
    </x:row>
    <x:row r="13" ht="48" customHeight="1">
      <x:c r="A13" s="72" t="str">
        <x:f>'작업 관리'!A13</x:f>
        <x:v>1.6</x:v>
      </x:c>
      <x:c r="B13" s="15" t="str">
        <x:f>'작업 관리'!C13</x:f>
        <x:v>재무비율·계정·업종 계산 기준 정의</x:v>
      </x:c>
      <x:c r="C13" s="2" t="str">
        <x:f>'작업 관리'!D13</x:f>
        <x:v>오준탁</x:v>
      </x:c>
      <x:c r="D13" s="54" t="str">
        <x:f>IF(AND(D$8&gt;='작업 관리'!$E13,D$8&lt;='작업 관리'!$F13),IF('작업 관리'!$I13="마일스톤",3,IF('작업 관리'!$G13="완료",2,1)),"")</x:f>
      </x:c>
      <x:c r="E13" s="54" t="n">
        <x:f>IF(AND(E$8&gt;='작업 관리'!$E13,E$8&lt;='작업 관리'!$F13),IF('작업 관리'!$I13="마일스톤",3,IF('작업 관리'!$G13="완료",2,1)),"")</x:f>
        <x:v>1</x:v>
      </x:c>
      <x:c r="F13" s="54" t="n">
        <x:f>IF(AND(F$8&gt;='작업 관리'!$E13,F$8&lt;='작업 관리'!$F13),IF('작업 관리'!$I13="마일스톤",3,IF('작업 관리'!$G13="완료",2,1)),"")</x:f>
        <x:v>1</x:v>
      </x:c>
      <x:c r="G13" s="56" t="str">
        <x:f>IF(AND(G$8&gt;='작업 관리'!$E13,G$8&lt;='작업 관리'!$F13),IF('작업 관리'!$I13="마일스톤",3,IF('작업 관리'!$G13="완료",2,1)),"")</x:f>
      </x:c>
      <x:c r="H13" s="56" t="str">
        <x:f>IF(AND(H$8&gt;='작업 관리'!$E13,H$8&lt;='작업 관리'!$F13),IF('작업 관리'!$I13="마일스톤",3,IF('작업 관리'!$G13="완료",2,1)),"")</x:f>
      </x:c>
      <x:c r="I13" s="54" t="str">
        <x:f>IF(AND(I$8&gt;='작업 관리'!$E13,I$8&lt;='작업 관리'!$F13),IF('작업 관리'!$I13="마일스톤",3,IF('작업 관리'!$G13="완료",2,1)),"")</x:f>
      </x:c>
      <x:c r="J13" s="54" t="str">
        <x:f>IF(AND(J$8&gt;='작업 관리'!$E13,J$8&lt;='작업 관리'!$F13),IF('작업 관리'!$I13="마일스톤",3,IF('작업 관리'!$G13="완료",2,1)),"")</x:f>
      </x:c>
      <x:c r="K13" s="54" t="str">
        <x:f>IF(AND(K$8&gt;='작업 관리'!$E13,K$8&lt;='작업 관리'!$F13),IF('작업 관리'!$I13="마일스톤",3,IF('작업 관리'!$G13="완료",2,1)),"")</x:f>
      </x:c>
      <x:c r="L13" s="54" t="str">
        <x:f>IF(AND(L$8&gt;='작업 관리'!$E13,L$8&lt;='작업 관리'!$F13),IF('작업 관리'!$I13="마일스톤",3,IF('작업 관리'!$G13="완료",2,1)),"")</x:f>
      </x:c>
      <x:c r="M13" s="54" t="str">
        <x:f>IF(AND(M$8&gt;='작업 관리'!$E13,M$8&lt;='작업 관리'!$F13),IF('작업 관리'!$I13="마일스톤",3,IF('작업 관리'!$G13="완료",2,1)),"")</x:f>
      </x:c>
      <x:c r="N13" s="56" t="str">
        <x:f>IF(AND(N$8&gt;='작업 관리'!$E13,N$8&lt;='작업 관리'!$F13),IF('작업 관리'!$I13="마일스톤",3,IF('작업 관리'!$G13="완료",2,1)),"")</x:f>
      </x:c>
      <x:c r="O13" s="56" t="str">
        <x:f>IF(AND(O$8&gt;='작업 관리'!$E13,O$8&lt;='작업 관리'!$F13),IF('작업 관리'!$I13="마일스톤",3,IF('작업 관리'!$G13="완료",2,1)),"")</x:f>
      </x:c>
      <x:c r="P13" s="54" t="str">
        <x:f>IF(AND(P$8&gt;='작업 관리'!$E13,P$8&lt;='작업 관리'!$F13),IF('작업 관리'!$I13="마일스톤",3,IF('작업 관리'!$G13="완료",2,1)),"")</x:f>
      </x:c>
      <x:c r="Q13" s="54" t="str">
        <x:f>IF(AND(Q$8&gt;='작업 관리'!$E13,Q$8&lt;='작업 관리'!$F13),IF('작업 관리'!$I13="마일스톤",3,IF('작업 관리'!$G13="완료",2,1)),"")</x:f>
      </x:c>
      <x:c r="R13" s="54" t="str">
        <x:f>IF(AND(R$8&gt;='작업 관리'!$E13,R$8&lt;='작업 관리'!$F13),IF('작업 관리'!$I13="마일스톤",3,IF('작업 관리'!$G13="완료",2,1)),"")</x:f>
      </x:c>
      <x:c r="S13" s="54" t="str">
        <x:f>IF(AND(S$8&gt;='작업 관리'!$E13,S$8&lt;='작업 관리'!$F13),IF('작업 관리'!$I13="마일스톤",3,IF('작업 관리'!$G13="완료",2,1)),"")</x:f>
      </x:c>
    </x:row>
    <x:row r="14" ht="48" customHeight="1">
      <x:c r="A14" s="83" t="str">
        <x:f>'작업 관리'!A14</x:f>
        <x:v>1.7</x:v>
      </x:c>
      <x:c r="B14" s="16" t="str">
        <x:f>'작업 관리'!C14</x:f>
        <x:v>상환·연체 위험 사건과 12개월 라벨 정의</x:v>
      </x:c>
      <x:c r="C14" s="14" t="str">
        <x:f>'작업 관리'!D14</x:f>
        <x:v>김동혁</x:v>
      </x:c>
      <x:c r="D14" s="55" t="str">
        <x:f>IF(AND(D$8&gt;='작업 관리'!$E14,D$8&lt;='작업 관리'!$F14),IF('작업 관리'!$I14="마일스톤",3,IF('작업 관리'!$G14="완료",2,1)),"")</x:f>
      </x:c>
      <x:c r="E14" s="55" t="n">
        <x:f>IF(AND(E$8&gt;='작업 관리'!$E14,E$8&lt;='작업 관리'!$F14),IF('작업 관리'!$I14="마일스톤",3,IF('작업 관리'!$G14="완료",2,1)),"")</x:f>
        <x:v>1</x:v>
      </x:c>
      <x:c r="F14" s="55" t="n">
        <x:f>IF(AND(F$8&gt;='작업 관리'!$E14,F$8&lt;='작업 관리'!$F14),IF('작업 관리'!$I14="마일스톤",3,IF('작업 관리'!$G14="완료",2,1)),"")</x:f>
        <x:v>1</x:v>
      </x:c>
      <x:c r="G14" s="56" t="str">
        <x:f>IF(AND(G$8&gt;='작업 관리'!$E14,G$8&lt;='작업 관리'!$F14),IF('작업 관리'!$I14="마일스톤",3,IF('작업 관리'!$G14="완료",2,1)),"")</x:f>
      </x:c>
      <x:c r="H14" s="56" t="str">
        <x:f>IF(AND(H$8&gt;='작업 관리'!$E14,H$8&lt;='작업 관리'!$F14),IF('작업 관리'!$I14="마일스톤",3,IF('작업 관리'!$G14="완료",2,1)),"")</x:f>
      </x:c>
      <x:c r="I14" s="55" t="str">
        <x:f>IF(AND(I$8&gt;='작업 관리'!$E14,I$8&lt;='작업 관리'!$F14),IF('작업 관리'!$I14="마일스톤",3,IF('작업 관리'!$G14="완료",2,1)),"")</x:f>
      </x:c>
      <x:c r="J14" s="55" t="str">
        <x:f>IF(AND(J$8&gt;='작업 관리'!$E14,J$8&lt;='작업 관리'!$F14),IF('작업 관리'!$I14="마일스톤",3,IF('작업 관리'!$G14="완료",2,1)),"")</x:f>
      </x:c>
      <x:c r="K14" s="55" t="str">
        <x:f>IF(AND(K$8&gt;='작업 관리'!$E14,K$8&lt;='작업 관리'!$F14),IF('작업 관리'!$I14="마일스톤",3,IF('작업 관리'!$G14="완료",2,1)),"")</x:f>
      </x:c>
      <x:c r="L14" s="55" t="str">
        <x:f>IF(AND(L$8&gt;='작업 관리'!$E14,L$8&lt;='작업 관리'!$F14),IF('작업 관리'!$I14="마일스톤",3,IF('작업 관리'!$G14="완료",2,1)),"")</x:f>
      </x:c>
      <x:c r="M14" s="55" t="str">
        <x:f>IF(AND(M$8&gt;='작업 관리'!$E14,M$8&lt;='작업 관리'!$F14),IF('작업 관리'!$I14="마일스톤",3,IF('작업 관리'!$G14="완료",2,1)),"")</x:f>
      </x:c>
      <x:c r="N14" s="56" t="str">
        <x:f>IF(AND(N$8&gt;='작업 관리'!$E14,N$8&lt;='작업 관리'!$F14),IF('작업 관리'!$I14="마일스톤",3,IF('작업 관리'!$G14="완료",2,1)),"")</x:f>
      </x:c>
      <x:c r="O14" s="56" t="str">
        <x:f>IF(AND(O$8&gt;='작업 관리'!$E14,O$8&lt;='작업 관리'!$F14),IF('작업 관리'!$I14="마일스톤",3,IF('작업 관리'!$G14="완료",2,1)),"")</x:f>
      </x:c>
      <x:c r="P14" s="55" t="str">
        <x:f>IF(AND(P$8&gt;='작업 관리'!$E14,P$8&lt;='작업 관리'!$F14),IF('작업 관리'!$I14="마일스톤",3,IF('작업 관리'!$G14="완료",2,1)),"")</x:f>
      </x:c>
      <x:c r="Q14" s="55" t="str">
        <x:f>IF(AND(Q$8&gt;='작업 관리'!$E14,Q$8&lt;='작업 관리'!$F14),IF('작업 관리'!$I14="마일스톤",3,IF('작업 관리'!$G14="완료",2,1)),"")</x:f>
      </x:c>
      <x:c r="R14" s="55" t="str">
        <x:f>IF(AND(R$8&gt;='작업 관리'!$E14,R$8&lt;='작업 관리'!$F14),IF('작업 관리'!$I14="마일스톤",3,IF('작업 관리'!$G14="완료",2,1)),"")</x:f>
      </x:c>
      <x:c r="S14" s="55" t="str">
        <x:f>IF(AND(S$8&gt;='작업 관리'!$E14,S$8&lt;='작업 관리'!$F14),IF('작업 관리'!$I14="마일스톤",3,IF('작업 관리'!$G14="완료",2,1)),"")</x:f>
      </x:c>
    </x:row>
    <x:row r="15" ht="48" customHeight="1">
      <x:c r="A15" s="72" t="str">
        <x:f>'작업 관리'!A15</x:f>
        <x:v>1.8</x:v>
      </x:c>
      <x:c r="B15" s="15" t="str">
        <x:f>'작업 관리'!C15</x:f>
        <x:v>기획 발표자료에 최신 범위 반영</x:v>
      </x:c>
      <x:c r="C15" s="2" t="str">
        <x:f>'작업 관리'!D15</x:f>
        <x:v>오준탁</x:v>
      </x:c>
      <x:c r="D15" s="54" t="str">
        <x:f>IF(AND(D$8&gt;='작업 관리'!$E15,D$8&lt;='작업 관리'!$F15),IF('작업 관리'!$I15="마일스톤",3,IF('작업 관리'!$G15="완료",2,1)),"")</x:f>
      </x:c>
      <x:c r="E15" s="54" t="n">
        <x:f>IF(AND(E$8&gt;='작업 관리'!$E15,E$8&lt;='작업 관리'!$F15),IF('작업 관리'!$I15="마일스톤",3,IF('작업 관리'!$G15="완료",2,1)),"")</x:f>
        <x:v>1</x:v>
      </x:c>
      <x:c r="F15" s="54" t="n">
        <x:f>IF(AND(F$8&gt;='작업 관리'!$E15,F$8&lt;='작업 관리'!$F15),IF('작업 관리'!$I15="마일스톤",3,IF('작업 관리'!$G15="완료",2,1)),"")</x:f>
        <x:v>1</x:v>
      </x:c>
      <x:c r="G15" s="56" t="str">
        <x:f>IF(AND(G$8&gt;='작업 관리'!$E15,G$8&lt;='작업 관리'!$F15),IF('작업 관리'!$I15="마일스톤",3,IF('작업 관리'!$G15="완료",2,1)),"")</x:f>
      </x:c>
      <x:c r="H15" s="56" t="str">
        <x:f>IF(AND(H$8&gt;='작업 관리'!$E15,H$8&lt;='작업 관리'!$F15),IF('작업 관리'!$I15="마일스톤",3,IF('작업 관리'!$G15="완료",2,1)),"")</x:f>
      </x:c>
      <x:c r="I15" s="54" t="str">
        <x:f>IF(AND(I$8&gt;='작업 관리'!$E15,I$8&lt;='작업 관리'!$F15),IF('작업 관리'!$I15="마일스톤",3,IF('작업 관리'!$G15="완료",2,1)),"")</x:f>
      </x:c>
      <x:c r="J15" s="54" t="str">
        <x:f>IF(AND(J$8&gt;='작업 관리'!$E15,J$8&lt;='작업 관리'!$F15),IF('작업 관리'!$I15="마일스톤",3,IF('작업 관리'!$G15="완료",2,1)),"")</x:f>
      </x:c>
      <x:c r="K15" s="54" t="str">
        <x:f>IF(AND(K$8&gt;='작업 관리'!$E15,K$8&lt;='작업 관리'!$F15),IF('작업 관리'!$I15="마일스톤",3,IF('작업 관리'!$G15="완료",2,1)),"")</x:f>
      </x:c>
      <x:c r="L15" s="54" t="str">
        <x:f>IF(AND(L$8&gt;='작업 관리'!$E15,L$8&lt;='작업 관리'!$F15),IF('작업 관리'!$I15="마일스톤",3,IF('작업 관리'!$G15="완료",2,1)),"")</x:f>
      </x:c>
      <x:c r="M15" s="54" t="str">
        <x:f>IF(AND(M$8&gt;='작업 관리'!$E15,M$8&lt;='작업 관리'!$F15),IF('작업 관리'!$I15="마일스톤",3,IF('작업 관리'!$G15="완료",2,1)),"")</x:f>
      </x:c>
      <x:c r="N15" s="56" t="str">
        <x:f>IF(AND(N$8&gt;='작업 관리'!$E15,N$8&lt;='작업 관리'!$F15),IF('작업 관리'!$I15="마일스톤",3,IF('작업 관리'!$G15="완료",2,1)),"")</x:f>
      </x:c>
      <x:c r="O15" s="56" t="str">
        <x:f>IF(AND(O$8&gt;='작업 관리'!$E15,O$8&lt;='작업 관리'!$F15),IF('작업 관리'!$I15="마일스톤",3,IF('작업 관리'!$G15="완료",2,1)),"")</x:f>
      </x:c>
      <x:c r="P15" s="54" t="str">
        <x:f>IF(AND(P$8&gt;='작업 관리'!$E15,P$8&lt;='작업 관리'!$F15),IF('작업 관리'!$I15="마일스톤",3,IF('작업 관리'!$G15="완료",2,1)),"")</x:f>
      </x:c>
      <x:c r="Q15" s="54" t="str">
        <x:f>IF(AND(Q$8&gt;='작업 관리'!$E15,Q$8&lt;='작업 관리'!$F15),IF('작업 관리'!$I15="마일스톤",3,IF('작업 관리'!$G15="완료",2,1)),"")</x:f>
      </x:c>
      <x:c r="R15" s="54" t="str">
        <x:f>IF(AND(R$8&gt;='작업 관리'!$E15,R$8&lt;='작업 관리'!$F15),IF('작업 관리'!$I15="마일스톤",3,IF('작업 관리'!$G15="완료",2,1)),"")</x:f>
      </x:c>
      <x:c r="S15" s="54" t="str">
        <x:f>IF(AND(S$8&gt;='작업 관리'!$E15,S$8&lt;='작업 관리'!$F15),IF('작업 관리'!$I15="마일스톤",3,IF('작업 관리'!$G15="완료",2,1)),"")</x:f>
      </x:c>
    </x:row>
    <x:row r="16" ht="48" customHeight="1">
      <x:c r="A16" s="83" t="str">
        <x:f>'작업 관리'!A16</x:f>
        <x:v>1.5</x:v>
      </x:c>
      <x:c r="B16" s="16" t="str">
        <x:f>'작업 관리'!C16</x:f>
        <x:v>기능 검증·원문 정답지 표본 선정</x:v>
      </x:c>
      <x:c r="C16" s="14" t="str">
        <x:f>'작업 관리'!D16</x:f>
        <x:v>최수인</x:v>
      </x:c>
      <x:c r="D16" s="55" t="str">
        <x:f>IF(AND(D$8&gt;='작업 관리'!$E16,D$8&lt;='작업 관리'!$F16),IF('작업 관리'!$I16="마일스톤",3,IF('작업 관리'!$G16="완료",2,1)),"")</x:f>
      </x:c>
      <x:c r="E16" s="55" t="str">
        <x:f>IF(AND(E$8&gt;='작업 관리'!$E16,E$8&lt;='작업 관리'!$F16),IF('작업 관리'!$I16="마일스톤",3,IF('작업 관리'!$G16="완료",2,1)),"")</x:f>
      </x:c>
      <x:c r="F16" s="55" t="n">
        <x:f>IF(AND(F$8&gt;='작업 관리'!$E16,F$8&lt;='작업 관리'!$F16),IF('작업 관리'!$I16="마일스톤",3,IF('작업 관리'!$G16="완료",2,1)),"")</x:f>
        <x:v>1</x:v>
      </x:c>
      <x:c r="G16" s="56" t="str">
        <x:f>IF(AND(G$8&gt;='작업 관리'!$E16,G$8&lt;='작업 관리'!$F16),IF('작업 관리'!$I16="마일스톤",3,IF('작업 관리'!$G16="완료",2,1)),"")</x:f>
      </x:c>
      <x:c r="H16" s="56" t="str">
        <x:f>IF(AND(H$8&gt;='작업 관리'!$E16,H$8&lt;='작업 관리'!$F16),IF('작업 관리'!$I16="마일스톤",3,IF('작업 관리'!$G16="완료",2,1)),"")</x:f>
      </x:c>
      <x:c r="I16" s="55" t="str">
        <x:f>IF(AND(I$8&gt;='작업 관리'!$E16,I$8&lt;='작업 관리'!$F16),IF('작업 관리'!$I16="마일스톤",3,IF('작업 관리'!$G16="완료",2,1)),"")</x:f>
      </x:c>
      <x:c r="J16" s="55" t="str">
        <x:f>IF(AND(J$8&gt;='작업 관리'!$E16,J$8&lt;='작업 관리'!$F16),IF('작업 관리'!$I16="마일스톤",3,IF('작업 관리'!$G16="완료",2,1)),"")</x:f>
      </x:c>
      <x:c r="K16" s="55" t="str">
        <x:f>IF(AND(K$8&gt;='작업 관리'!$E16,K$8&lt;='작업 관리'!$F16),IF('작업 관리'!$I16="마일스톤",3,IF('작업 관리'!$G16="완료",2,1)),"")</x:f>
      </x:c>
      <x:c r="L16" s="55" t="str">
        <x:f>IF(AND(L$8&gt;='작업 관리'!$E16,L$8&lt;='작업 관리'!$F16),IF('작업 관리'!$I16="마일스톤",3,IF('작업 관리'!$G16="완료",2,1)),"")</x:f>
      </x:c>
      <x:c r="M16" s="55" t="str">
        <x:f>IF(AND(M$8&gt;='작업 관리'!$E16,M$8&lt;='작업 관리'!$F16),IF('작업 관리'!$I16="마일스톤",3,IF('작업 관리'!$G16="완료",2,1)),"")</x:f>
      </x:c>
      <x:c r="N16" s="56" t="str">
        <x:f>IF(AND(N$8&gt;='작업 관리'!$E16,N$8&lt;='작업 관리'!$F16),IF('작업 관리'!$I16="마일스톤",3,IF('작업 관리'!$G16="완료",2,1)),"")</x:f>
      </x:c>
      <x:c r="O16" s="56" t="str">
        <x:f>IF(AND(O$8&gt;='작업 관리'!$E16,O$8&lt;='작업 관리'!$F16),IF('작업 관리'!$I16="마일스톤",3,IF('작업 관리'!$G16="완료",2,1)),"")</x:f>
      </x:c>
      <x:c r="P16" s="55" t="str">
        <x:f>IF(AND(P$8&gt;='작업 관리'!$E16,P$8&lt;='작업 관리'!$F16),IF('작업 관리'!$I16="마일스톤",3,IF('작업 관리'!$G16="완료",2,1)),"")</x:f>
      </x:c>
      <x:c r="Q16" s="55" t="str">
        <x:f>IF(AND(Q$8&gt;='작업 관리'!$E16,Q$8&lt;='작업 관리'!$F16),IF('작업 관리'!$I16="마일스톤",3,IF('작업 관리'!$G16="완료",2,1)),"")</x:f>
      </x:c>
      <x:c r="R16" s="55" t="str">
        <x:f>IF(AND(R$8&gt;='작업 관리'!$E16,R$8&lt;='작업 관리'!$F16),IF('작업 관리'!$I16="마일스톤",3,IF('작업 관리'!$G16="완료",2,1)),"")</x:f>
      </x:c>
      <x:c r="S16" s="55" t="str">
        <x:f>IF(AND(S$8&gt;='작업 관리'!$E16,S$8&lt;='작업 관리'!$F16),IF('작업 관리'!$I16="마일스톤",3,IF('작업 관리'!$G16="완료",2,1)),"")</x:f>
      </x:c>
    </x:row>
    <x:row r="17" ht="48" customHeight="1">
      <x:c r="A17" s="72" t="str">
        <x:f>'작업 관리'!A17</x:f>
        <x:v>1.M1</x:v>
      </x:c>
      <x:c r="B17" s="15" t="str">
        <x:f>'작업 관리'!C17</x:f>
        <x:v>업종·데이터·모델 설계 기준 확정</x:v>
      </x:c>
      <x:c r="C17" s="2" t="str">
        <x:f>'작업 관리'!D17</x:f>
        <x:v>김동혁</x:v>
      </x:c>
      <x:c r="D17" s="54" t="str">
        <x:f>IF(AND(D$8&gt;='작업 관리'!$E17,D$8&lt;='작업 관리'!$F17),IF('작업 관리'!$I17="마일스톤",3,IF('작업 관리'!$G17="완료",2,1)),"")</x:f>
      </x:c>
      <x:c r="E17" s="54" t="str">
        <x:f>IF(AND(E$8&gt;='작업 관리'!$E17,E$8&lt;='작업 관리'!$F17),IF('작업 관리'!$I17="마일스톤",3,IF('작업 관리'!$G17="완료",2,1)),"")</x:f>
      </x:c>
      <x:c r="F17" s="54" t="n">
        <x:f>IF(AND(F$8&gt;='작업 관리'!$E17,F$8&lt;='작업 관리'!$F17),IF('작업 관리'!$I17="마일스톤",3,IF('작업 관리'!$G17="완료",2,1)),"")</x:f>
        <x:v>3</x:v>
      </x:c>
      <x:c r="G17" s="56" t="str">
        <x:f>IF(AND(G$8&gt;='작업 관리'!$E17,G$8&lt;='작업 관리'!$F17),IF('작업 관리'!$I17="마일스톤",3,IF('작업 관리'!$G17="완료",2,1)),"")</x:f>
      </x:c>
      <x:c r="H17" s="56" t="str">
        <x:f>IF(AND(H$8&gt;='작업 관리'!$E17,H$8&lt;='작업 관리'!$F17),IF('작업 관리'!$I17="마일스톤",3,IF('작업 관리'!$G17="완료",2,1)),"")</x:f>
      </x:c>
      <x:c r="I17" s="54" t="str">
        <x:f>IF(AND(I$8&gt;='작업 관리'!$E17,I$8&lt;='작업 관리'!$F17),IF('작업 관리'!$I17="마일스톤",3,IF('작업 관리'!$G17="완료",2,1)),"")</x:f>
      </x:c>
      <x:c r="J17" s="54" t="str">
        <x:f>IF(AND(J$8&gt;='작업 관리'!$E17,J$8&lt;='작업 관리'!$F17),IF('작업 관리'!$I17="마일스톤",3,IF('작업 관리'!$G17="완료",2,1)),"")</x:f>
      </x:c>
      <x:c r="K17" s="54" t="str">
        <x:f>IF(AND(K$8&gt;='작업 관리'!$E17,K$8&lt;='작업 관리'!$F17),IF('작업 관리'!$I17="마일스톤",3,IF('작업 관리'!$G17="완료",2,1)),"")</x:f>
      </x:c>
      <x:c r="L17" s="54" t="str">
        <x:f>IF(AND(L$8&gt;='작업 관리'!$E17,L$8&lt;='작업 관리'!$F17),IF('작업 관리'!$I17="마일스톤",3,IF('작업 관리'!$G17="완료",2,1)),"")</x:f>
      </x:c>
      <x:c r="M17" s="54" t="str">
        <x:f>IF(AND(M$8&gt;='작업 관리'!$E17,M$8&lt;='작업 관리'!$F17),IF('작업 관리'!$I17="마일스톤",3,IF('작업 관리'!$G17="완료",2,1)),"")</x:f>
      </x:c>
      <x:c r="N17" s="56" t="str">
        <x:f>IF(AND(N$8&gt;='작업 관리'!$E17,N$8&lt;='작업 관리'!$F17),IF('작업 관리'!$I17="마일스톤",3,IF('작업 관리'!$G17="완료",2,1)),"")</x:f>
      </x:c>
      <x:c r="O17" s="56" t="str">
        <x:f>IF(AND(O$8&gt;='작업 관리'!$E17,O$8&lt;='작업 관리'!$F17),IF('작업 관리'!$I17="마일스톤",3,IF('작업 관리'!$G17="완료",2,1)),"")</x:f>
      </x:c>
      <x:c r="P17" s="54" t="str">
        <x:f>IF(AND(P$8&gt;='작업 관리'!$E17,P$8&lt;='작업 관리'!$F17),IF('작업 관리'!$I17="마일스톤",3,IF('작업 관리'!$G17="완료",2,1)),"")</x:f>
      </x:c>
      <x:c r="Q17" s="54" t="str">
        <x:f>IF(AND(Q$8&gt;='작업 관리'!$E17,Q$8&lt;='작업 관리'!$F17),IF('작업 관리'!$I17="마일스톤",3,IF('작업 관리'!$G17="완료",2,1)),"")</x:f>
      </x:c>
      <x:c r="R17" s="54" t="str">
        <x:f>IF(AND(R$8&gt;='작업 관리'!$E17,R$8&lt;='작업 관리'!$F17),IF('작업 관리'!$I17="마일스톤",3,IF('작업 관리'!$G17="완료",2,1)),"")</x:f>
      </x:c>
      <x:c r="S17" s="54" t="str">
        <x:f>IF(AND(S$8&gt;='작업 관리'!$E17,S$8&lt;='작업 관리'!$F17),IF('작업 관리'!$I17="마일스톤",3,IF('작업 관리'!$G17="완료",2,1)),"")</x:f>
      </x:c>
    </x:row>
    <x:row r="18" ht="48" customHeight="1">
      <x:c r="A18" s="83" t="str">
        <x:f>'작업 관리'!A18</x:f>
        <x:v>1.9</x:v>
      </x:c>
      <x:c r="B18" s="16" t="str">
        <x:f>'작업 관리'!C18</x:f>
        <x:v>v2.0·v0.0.4 변경 및 미정 의사결정 정리</x:v>
      </x:c>
      <x:c r="C18" s="14" t="str">
        <x:f>'작업 관리'!D18</x:f>
        <x:v>김동혁</x:v>
      </x:c>
      <x:c r="D18" s="55" t="str">
        <x:f>IF(AND(D$8&gt;='작업 관리'!$E18,D$8&lt;='작업 관리'!$F18),IF('작업 관리'!$I18="마일스톤",3,IF('작업 관리'!$G18="완료",2,1)),"")</x:f>
      </x:c>
      <x:c r="E18" s="55" t="str">
        <x:f>IF(AND(E$8&gt;='작업 관리'!$E18,E$8&lt;='작업 관리'!$F18),IF('작업 관리'!$I18="마일스톤",3,IF('작업 관리'!$G18="완료",2,1)),"")</x:f>
      </x:c>
      <x:c r="F18" s="55" t="str">
        <x:f>IF(AND(F$8&gt;='작업 관리'!$E18,F$8&lt;='작업 관리'!$F18),IF('작업 관리'!$I18="마일스톤",3,IF('작업 관리'!$G18="완료",2,1)),"")</x:f>
      </x:c>
      <x:c r="G18" s="56" t="n">
        <x:f>IF(AND(G$8&gt;='작업 관리'!$E18,G$8&lt;='작업 관리'!$F18),IF('작업 관리'!$I18="마일스톤",3,IF('작업 관리'!$G18="완료",2,1)),"")</x:f>
        <x:v>1</x:v>
      </x:c>
      <x:c r="H18" s="56" t="str">
        <x:f>IF(AND(H$8&gt;='작업 관리'!$E18,H$8&lt;='작업 관리'!$F18),IF('작업 관리'!$I18="마일스톤",3,IF('작업 관리'!$G18="완료",2,1)),"")</x:f>
      </x:c>
      <x:c r="I18" s="55" t="str">
        <x:f>IF(AND(I$8&gt;='작업 관리'!$E18,I$8&lt;='작업 관리'!$F18),IF('작업 관리'!$I18="마일스톤",3,IF('작업 관리'!$G18="완료",2,1)),"")</x:f>
      </x:c>
      <x:c r="J18" s="55" t="str">
        <x:f>IF(AND(J$8&gt;='작업 관리'!$E18,J$8&lt;='작업 관리'!$F18),IF('작업 관리'!$I18="마일스톤",3,IF('작업 관리'!$G18="완료",2,1)),"")</x:f>
      </x:c>
      <x:c r="K18" s="55" t="str">
        <x:f>IF(AND(K$8&gt;='작업 관리'!$E18,K$8&lt;='작업 관리'!$F18),IF('작업 관리'!$I18="마일스톤",3,IF('작업 관리'!$G18="완료",2,1)),"")</x:f>
      </x:c>
      <x:c r="L18" s="55" t="str">
        <x:f>IF(AND(L$8&gt;='작업 관리'!$E18,L$8&lt;='작업 관리'!$F18),IF('작업 관리'!$I18="마일스톤",3,IF('작업 관리'!$G18="완료",2,1)),"")</x:f>
      </x:c>
      <x:c r="M18" s="55" t="str">
        <x:f>IF(AND(M$8&gt;='작업 관리'!$E18,M$8&lt;='작업 관리'!$F18),IF('작업 관리'!$I18="마일스톤",3,IF('작업 관리'!$G18="완료",2,1)),"")</x:f>
      </x:c>
      <x:c r="N18" s="56" t="str">
        <x:f>IF(AND(N$8&gt;='작업 관리'!$E18,N$8&lt;='작업 관리'!$F18),IF('작업 관리'!$I18="마일스톤",3,IF('작업 관리'!$G18="완료",2,1)),"")</x:f>
      </x:c>
      <x:c r="O18" s="56" t="str">
        <x:f>IF(AND(O$8&gt;='작업 관리'!$E18,O$8&lt;='작업 관리'!$F18),IF('작업 관리'!$I18="마일스톤",3,IF('작업 관리'!$G18="완료",2,1)),"")</x:f>
      </x:c>
      <x:c r="P18" s="55" t="str">
        <x:f>IF(AND(P$8&gt;='작업 관리'!$E18,P$8&lt;='작업 관리'!$F18),IF('작업 관리'!$I18="마일스톤",3,IF('작업 관리'!$G18="완료",2,1)),"")</x:f>
      </x:c>
      <x:c r="Q18" s="55" t="str">
        <x:f>IF(AND(Q$8&gt;='작업 관리'!$E18,Q$8&lt;='작업 관리'!$F18),IF('작업 관리'!$I18="마일스톤",3,IF('작업 관리'!$G18="완료",2,1)),"")</x:f>
      </x:c>
      <x:c r="R18" s="55" t="str">
        <x:f>IF(AND(R$8&gt;='작업 관리'!$E18,R$8&lt;='작업 관리'!$F18),IF('작업 관리'!$I18="마일스톤",3,IF('작업 관리'!$G18="완료",2,1)),"")</x:f>
      </x:c>
      <x:c r="S18" s="55" t="str">
        <x:f>IF(AND(S$8&gt;='작업 관리'!$E18,S$8&lt;='작업 관리'!$F18),IF('작업 관리'!$I18="마일스톤",3,IF('작업 관리'!$G18="완료",2,1)),"")</x:f>
      </x:c>
    </x:row>
    <x:row r="19" ht="48" customHeight="1">
      <x:c r="A19" s="72" t="str">
        <x:f>'작업 관리'!A19</x:f>
        <x:v>1.10</x:v>
      </x:c>
      <x:c r="B19" s="15" t="str">
        <x:f>'작업 관리'!C19</x:f>
        <x:v>6개 판단 축·업종 지표·단계 가설 검토</x:v>
      </x:c>
      <x:c r="C19" s="2" t="str">
        <x:f>'작업 관리'!D19</x:f>
        <x:v>오준탁</x:v>
      </x:c>
      <x:c r="D19" s="54" t="str">
        <x:f>IF(AND(D$8&gt;='작업 관리'!$E19,D$8&lt;='작업 관리'!$F19),IF('작업 관리'!$I19="마일스톤",3,IF('작업 관리'!$G19="완료",2,1)),"")</x:f>
      </x:c>
      <x:c r="E19" s="54" t="str">
        <x:f>IF(AND(E$8&gt;='작업 관리'!$E19,E$8&lt;='작업 관리'!$F19),IF('작업 관리'!$I19="마일스톤",3,IF('작업 관리'!$G19="완료",2,1)),"")</x:f>
      </x:c>
      <x:c r="F19" s="54" t="str">
        <x:f>IF(AND(F$8&gt;='작업 관리'!$E19,F$8&lt;='작업 관리'!$F19),IF('작업 관리'!$I19="마일스톤",3,IF('작업 관리'!$G19="완료",2,1)),"")</x:f>
      </x:c>
      <x:c r="G19" s="56" t="n">
        <x:f>IF(AND(G$8&gt;='작업 관리'!$E19,G$8&lt;='작업 관리'!$F19),IF('작업 관리'!$I19="마일스톤",3,IF('작업 관리'!$G19="완료",2,1)),"")</x:f>
        <x:v>1</x:v>
      </x:c>
      <x:c r="H19" s="56" t="n">
        <x:f>IF(AND(H$8&gt;='작업 관리'!$E19,H$8&lt;='작업 관리'!$F19),IF('작업 관리'!$I19="마일스톤",3,IF('작업 관리'!$G19="완료",2,1)),"")</x:f>
        <x:v>1</x:v>
      </x:c>
      <x:c r="I19" s="54" t="n">
        <x:f>IF(AND(I$8&gt;='작업 관리'!$E19,I$8&lt;='작업 관리'!$F19),IF('작업 관리'!$I19="마일스톤",3,IF('작업 관리'!$G19="완료",2,1)),"")</x:f>
        <x:v>1</x:v>
      </x:c>
      <x:c r="J19" s="54" t="str">
        <x:f>IF(AND(J$8&gt;='작업 관리'!$E19,J$8&lt;='작업 관리'!$F19),IF('작업 관리'!$I19="마일스톤",3,IF('작업 관리'!$G19="완료",2,1)),"")</x:f>
      </x:c>
      <x:c r="K19" s="54" t="str">
        <x:f>IF(AND(K$8&gt;='작업 관리'!$E19,K$8&lt;='작업 관리'!$F19),IF('작업 관리'!$I19="마일스톤",3,IF('작업 관리'!$G19="완료",2,1)),"")</x:f>
      </x:c>
      <x:c r="L19" s="54" t="str">
        <x:f>IF(AND(L$8&gt;='작업 관리'!$E19,L$8&lt;='작업 관리'!$F19),IF('작업 관리'!$I19="마일스톤",3,IF('작업 관리'!$G19="완료",2,1)),"")</x:f>
      </x:c>
      <x:c r="M19" s="54" t="str">
        <x:f>IF(AND(M$8&gt;='작업 관리'!$E19,M$8&lt;='작업 관리'!$F19),IF('작업 관리'!$I19="마일스톤",3,IF('작업 관리'!$G19="완료",2,1)),"")</x:f>
      </x:c>
      <x:c r="N19" s="56" t="str">
        <x:f>IF(AND(N$8&gt;='작업 관리'!$E19,N$8&lt;='작업 관리'!$F19),IF('작업 관리'!$I19="마일스톤",3,IF('작업 관리'!$G19="완료",2,1)),"")</x:f>
      </x:c>
      <x:c r="O19" s="56" t="str">
        <x:f>IF(AND(O$8&gt;='작업 관리'!$E19,O$8&lt;='작업 관리'!$F19),IF('작업 관리'!$I19="마일스톤",3,IF('작업 관리'!$G19="완료",2,1)),"")</x:f>
      </x:c>
      <x:c r="P19" s="54" t="str">
        <x:f>IF(AND(P$8&gt;='작업 관리'!$E19,P$8&lt;='작업 관리'!$F19),IF('작업 관리'!$I19="마일스톤",3,IF('작업 관리'!$G19="완료",2,1)),"")</x:f>
      </x:c>
      <x:c r="Q19" s="54" t="str">
        <x:f>IF(AND(Q$8&gt;='작업 관리'!$E19,Q$8&lt;='작업 관리'!$F19),IF('작업 관리'!$I19="마일스톤",3,IF('작업 관리'!$G19="완료",2,1)),"")</x:f>
      </x:c>
      <x:c r="R19" s="54" t="str">
        <x:f>IF(AND(R$8&gt;='작업 관리'!$E19,R$8&lt;='작업 관리'!$F19),IF('작업 관리'!$I19="마일스톤",3,IF('작업 관리'!$G19="완료",2,1)),"")</x:f>
      </x:c>
      <x:c r="S19" s="54" t="str">
        <x:f>IF(AND(S$8&gt;='작업 관리'!$E19,S$8&lt;='작업 관리'!$F19),IF('작업 관리'!$I19="마일스톤",3,IF('작업 관리'!$G19="완료",2,1)),"")</x:f>
      </x:c>
    </x:row>
    <x:row r="20" ht="48" customHeight="1">
      <x:c r="A20" s="83" t="str">
        <x:f>'작업 관리'!A20</x:f>
        <x:v>2.7</x:v>
      </x:c>
      <x:c r="B20" s="16" t="str">
        <x:f>'작업 관리'!C20</x:f>
        <x:v>위험 사건 이력 수집과 원문 대조</x:v>
      </x:c>
      <x:c r="C20" s="14" t="str">
        <x:f>'작업 관리'!D20</x:f>
        <x:v>김동혁</x:v>
      </x:c>
      <x:c r="D20" s="55" t="str">
        <x:f>IF(AND(D$8&gt;='작업 관리'!$E20,D$8&lt;='작업 관리'!$F20),IF('작업 관리'!$I20="마일스톤",3,IF('작업 관리'!$G20="완료",2,1)),"")</x:f>
      </x:c>
      <x:c r="E20" s="55" t="str">
        <x:f>IF(AND(E$8&gt;='작업 관리'!$E20,E$8&lt;='작업 관리'!$F20),IF('작업 관리'!$I20="마일스톤",3,IF('작업 관리'!$G20="완료",2,1)),"")</x:f>
      </x:c>
      <x:c r="F20" s="55" t="n">
        <x:f>IF(AND(F$8&gt;='작업 관리'!$E20,F$8&lt;='작업 관리'!$F20),IF('작업 관리'!$I20="마일스톤",3,IF('작업 관리'!$G20="완료",2,1)),"")</x:f>
        <x:v>1</x:v>
      </x:c>
      <x:c r="G20" s="56" t="n">
        <x:f>IF(AND(G$8&gt;='작업 관리'!$E20,G$8&lt;='작업 관리'!$F20),IF('작업 관리'!$I20="마일스톤",3,IF('작업 관리'!$G20="완료",2,1)),"")</x:f>
        <x:v>1</x:v>
      </x:c>
      <x:c r="H20" s="56" t="str">
        <x:f>IF(AND(H$8&gt;='작업 관리'!$E20,H$8&lt;='작업 관리'!$F20),IF('작업 관리'!$I20="마일스톤",3,IF('작업 관리'!$G20="완료",2,1)),"")</x:f>
      </x:c>
      <x:c r="I20" s="55" t="str">
        <x:f>IF(AND(I$8&gt;='작업 관리'!$E20,I$8&lt;='작업 관리'!$F20),IF('작업 관리'!$I20="마일스톤",3,IF('작업 관리'!$G20="완료",2,1)),"")</x:f>
      </x:c>
      <x:c r="J20" s="55" t="str">
        <x:f>IF(AND(J$8&gt;='작업 관리'!$E20,J$8&lt;='작업 관리'!$F20),IF('작업 관리'!$I20="마일스톤",3,IF('작업 관리'!$G20="완료",2,1)),"")</x:f>
      </x:c>
      <x:c r="K20" s="55" t="str">
        <x:f>IF(AND(K$8&gt;='작업 관리'!$E20,K$8&lt;='작업 관리'!$F20),IF('작업 관리'!$I20="마일스톤",3,IF('작업 관리'!$G20="완료",2,1)),"")</x:f>
      </x:c>
      <x:c r="L20" s="55" t="str">
        <x:f>IF(AND(L$8&gt;='작업 관리'!$E20,L$8&lt;='작업 관리'!$F20),IF('작업 관리'!$I20="마일스톤",3,IF('작업 관리'!$G20="완료",2,1)),"")</x:f>
      </x:c>
      <x:c r="M20" s="55" t="str">
        <x:f>IF(AND(M$8&gt;='작업 관리'!$E20,M$8&lt;='작업 관리'!$F20),IF('작업 관리'!$I20="마일스톤",3,IF('작업 관리'!$G20="완료",2,1)),"")</x:f>
      </x:c>
      <x:c r="N20" s="56" t="str">
        <x:f>IF(AND(N$8&gt;='작업 관리'!$E20,N$8&lt;='작업 관리'!$F20),IF('작업 관리'!$I20="마일스톤",3,IF('작업 관리'!$G20="완료",2,1)),"")</x:f>
      </x:c>
      <x:c r="O20" s="56" t="str">
        <x:f>IF(AND(O$8&gt;='작업 관리'!$E20,O$8&lt;='작업 관리'!$F20),IF('작업 관리'!$I20="마일스톤",3,IF('작업 관리'!$G20="완료",2,1)),"")</x:f>
      </x:c>
      <x:c r="P20" s="55" t="str">
        <x:f>IF(AND(P$8&gt;='작업 관리'!$E20,P$8&lt;='작업 관리'!$F20),IF('작업 관리'!$I20="마일스톤",3,IF('작업 관리'!$G20="완료",2,1)),"")</x:f>
      </x:c>
      <x:c r="Q20" s="55" t="str">
        <x:f>IF(AND(Q$8&gt;='작업 관리'!$E20,Q$8&lt;='작업 관리'!$F20),IF('작업 관리'!$I20="마일스톤",3,IF('작업 관리'!$G20="완료",2,1)),"")</x:f>
      </x:c>
      <x:c r="R20" s="55" t="str">
        <x:f>IF(AND(R$8&gt;='작업 관리'!$E20,R$8&lt;='작업 관리'!$F20),IF('작업 관리'!$I20="마일스톤",3,IF('작업 관리'!$G20="완료",2,1)),"")</x:f>
      </x:c>
      <x:c r="S20" s="55" t="str">
        <x:f>IF(AND(S$8&gt;='작업 관리'!$E20,S$8&lt;='작업 관리'!$F20),IF('작업 관리'!$I20="마일스톤",3,IF('작업 관리'!$G20="완료",2,1)),"")</x:f>
      </x:c>
    </x:row>
    <x:row r="21" ht="48" customHeight="1">
      <x:c r="A21" s="72" t="str">
        <x:f>'작업 관리'!A21</x:f>
        <x:v>2.1</x:v>
      </x:c>
      <x:c r="B21" s="15" t="str">
        <x:f>'작업 관리'!C21</x:f>
        <x:v>재무·공시 수집과 출처 저장</x:v>
      </x:c>
      <x:c r="C21" s="2" t="str">
        <x:f>'작업 관리'!D21</x:f>
        <x:v>김동혁</x:v>
      </x:c>
      <x:c r="D21" s="54" t="str">
        <x:f>IF(AND(D$8&gt;='작업 관리'!$E21,D$8&lt;='작업 관리'!$F21),IF('작업 관리'!$I21="마일스톤",3,IF('작업 관리'!$G21="완료",2,1)),"")</x:f>
      </x:c>
      <x:c r="E21" s="54" t="str">
        <x:f>IF(AND(E$8&gt;='작업 관리'!$E21,E$8&lt;='작업 관리'!$F21),IF('작업 관리'!$I21="마일스톤",3,IF('작업 관리'!$G21="완료",2,1)),"")</x:f>
      </x:c>
      <x:c r="F21" s="54" t="str">
        <x:f>IF(AND(F$8&gt;='작업 관리'!$E21,F$8&lt;='작업 관리'!$F21),IF('작업 관리'!$I21="마일스톤",3,IF('작업 관리'!$G21="완료",2,1)),"")</x:f>
      </x:c>
      <x:c r="G21" s="56" t="n">
        <x:f>IF(AND(G$8&gt;='작업 관리'!$E21,G$8&lt;='작업 관리'!$F21),IF('작업 관리'!$I21="마일스톤",3,IF('작업 관리'!$G21="완료",2,1)),"")</x:f>
        <x:v>1</x:v>
      </x:c>
      <x:c r="H21" s="56" t="n">
        <x:f>IF(AND(H$8&gt;='작업 관리'!$E21,H$8&lt;='작업 관리'!$F21),IF('작업 관리'!$I21="마일스톤",3,IF('작업 관리'!$G21="완료",2,1)),"")</x:f>
        <x:v>1</x:v>
      </x:c>
      <x:c r="I21" s="54" t="str">
        <x:f>IF(AND(I$8&gt;='작업 관리'!$E21,I$8&lt;='작업 관리'!$F21),IF('작업 관리'!$I21="마일스톤",3,IF('작업 관리'!$G21="완료",2,1)),"")</x:f>
      </x:c>
      <x:c r="J21" s="54" t="str">
        <x:f>IF(AND(J$8&gt;='작업 관리'!$E21,J$8&lt;='작업 관리'!$F21),IF('작업 관리'!$I21="마일스톤",3,IF('작업 관리'!$G21="완료",2,1)),"")</x:f>
      </x:c>
      <x:c r="K21" s="54" t="str">
        <x:f>IF(AND(K$8&gt;='작업 관리'!$E21,K$8&lt;='작업 관리'!$F21),IF('작업 관리'!$I21="마일스톤",3,IF('작업 관리'!$G21="완료",2,1)),"")</x:f>
      </x:c>
      <x:c r="L21" s="54" t="str">
        <x:f>IF(AND(L$8&gt;='작업 관리'!$E21,L$8&lt;='작업 관리'!$F21),IF('작업 관리'!$I21="마일스톤",3,IF('작업 관리'!$G21="완료",2,1)),"")</x:f>
      </x:c>
      <x:c r="M21" s="54" t="str">
        <x:f>IF(AND(M$8&gt;='작업 관리'!$E21,M$8&lt;='작업 관리'!$F21),IF('작업 관리'!$I21="마일스톤",3,IF('작업 관리'!$G21="완료",2,1)),"")</x:f>
      </x:c>
      <x:c r="N21" s="56" t="str">
        <x:f>IF(AND(N$8&gt;='작업 관리'!$E21,N$8&lt;='작업 관리'!$F21),IF('작업 관리'!$I21="마일스톤",3,IF('작업 관리'!$G21="완료",2,1)),"")</x:f>
      </x:c>
      <x:c r="O21" s="56" t="str">
        <x:f>IF(AND(O$8&gt;='작업 관리'!$E21,O$8&lt;='작업 관리'!$F21),IF('작업 관리'!$I21="마일스톤",3,IF('작업 관리'!$G21="완료",2,1)),"")</x:f>
      </x:c>
      <x:c r="P21" s="54" t="str">
        <x:f>IF(AND(P$8&gt;='작업 관리'!$E21,P$8&lt;='작업 관리'!$F21),IF('작업 관리'!$I21="마일스톤",3,IF('작업 관리'!$G21="완료",2,1)),"")</x:f>
      </x:c>
      <x:c r="Q21" s="54" t="str">
        <x:f>IF(AND(Q$8&gt;='작업 관리'!$E21,Q$8&lt;='작업 관리'!$F21),IF('작업 관리'!$I21="마일스톤",3,IF('작업 관리'!$G21="완료",2,1)),"")</x:f>
      </x:c>
      <x:c r="R21" s="54" t="str">
        <x:f>IF(AND(R$8&gt;='작업 관리'!$E21,R$8&lt;='작업 관리'!$F21),IF('작업 관리'!$I21="마일스톤",3,IF('작업 관리'!$G21="완료",2,1)),"")</x:f>
      </x:c>
      <x:c r="S21" s="54" t="str">
        <x:f>IF(AND(S$8&gt;='작업 관리'!$E21,S$8&lt;='작업 관리'!$F21),IF('작업 관리'!$I21="마일스톤",3,IF('작업 관리'!$G21="완료",2,1)),"")</x:f>
      </x:c>
    </x:row>
    <x:row r="22" ht="48" customHeight="1">
      <x:c r="A22" s="83" t="str">
        <x:f>'작업 관리'!A22</x:f>
        <x:v>2.2</x:v>
      </x:c>
      <x:c r="B22" s="16" t="str">
        <x:f>'작업 관리'!C22</x:f>
        <x:v>계정 매핑과 비교 기준 정렬</x:v>
      </x:c>
      <x:c r="C22" s="14" t="str">
        <x:f>'작업 관리'!D22</x:f>
        <x:v>김동민</x:v>
      </x:c>
      <x:c r="D22" s="55" t="str">
        <x:f>IF(AND(D$8&gt;='작업 관리'!$E22,D$8&lt;='작업 관리'!$F22),IF('작업 관리'!$I22="마일스톤",3,IF('작업 관리'!$G22="완료",2,1)),"")</x:f>
      </x:c>
      <x:c r="E22" s="55" t="str">
        <x:f>IF(AND(E$8&gt;='작업 관리'!$E22,E$8&lt;='작업 관리'!$F22),IF('작업 관리'!$I22="마일스톤",3,IF('작업 관리'!$G22="완료",2,1)),"")</x:f>
      </x:c>
      <x:c r="F22" s="55" t="str">
        <x:f>IF(AND(F$8&gt;='작업 관리'!$E22,F$8&lt;='작업 관리'!$F22),IF('작업 관리'!$I22="마일스톤",3,IF('작업 관리'!$G22="완료",2,1)),"")</x:f>
      </x:c>
      <x:c r="G22" s="56" t="n">
        <x:f>IF(AND(G$8&gt;='작업 관리'!$E22,G$8&lt;='작업 관리'!$F22),IF('작업 관리'!$I22="마일스톤",3,IF('작업 관리'!$G22="완료",2,1)),"")</x:f>
        <x:v>1</x:v>
      </x:c>
      <x:c r="H22" s="56" t="n">
        <x:f>IF(AND(H$8&gt;='작업 관리'!$E22,H$8&lt;='작업 관리'!$F22),IF('작업 관리'!$I22="마일스톤",3,IF('작업 관리'!$G22="완료",2,1)),"")</x:f>
        <x:v>1</x:v>
      </x:c>
      <x:c r="I22" s="55" t="str">
        <x:f>IF(AND(I$8&gt;='작업 관리'!$E22,I$8&lt;='작업 관리'!$F22),IF('작업 관리'!$I22="마일스톤",3,IF('작업 관리'!$G22="완료",2,1)),"")</x:f>
      </x:c>
      <x:c r="J22" s="55" t="str">
        <x:f>IF(AND(J$8&gt;='작업 관리'!$E22,J$8&lt;='작업 관리'!$F22),IF('작업 관리'!$I22="마일스톤",3,IF('작업 관리'!$G22="완료",2,1)),"")</x:f>
      </x:c>
      <x:c r="K22" s="55" t="str">
        <x:f>IF(AND(K$8&gt;='작업 관리'!$E22,K$8&lt;='작업 관리'!$F22),IF('작업 관리'!$I22="마일스톤",3,IF('작업 관리'!$G22="완료",2,1)),"")</x:f>
      </x:c>
      <x:c r="L22" s="55" t="str">
        <x:f>IF(AND(L$8&gt;='작업 관리'!$E22,L$8&lt;='작업 관리'!$F22),IF('작업 관리'!$I22="마일스톤",3,IF('작업 관리'!$G22="완료",2,1)),"")</x:f>
      </x:c>
      <x:c r="M22" s="55" t="str">
        <x:f>IF(AND(M$8&gt;='작업 관리'!$E22,M$8&lt;='작업 관리'!$F22),IF('작업 관리'!$I22="마일스톤",3,IF('작업 관리'!$G22="완료",2,1)),"")</x:f>
      </x:c>
      <x:c r="N22" s="56" t="str">
        <x:f>IF(AND(N$8&gt;='작업 관리'!$E22,N$8&lt;='작업 관리'!$F22),IF('작업 관리'!$I22="마일스톤",3,IF('작업 관리'!$G22="완료",2,1)),"")</x:f>
      </x:c>
      <x:c r="O22" s="56" t="str">
        <x:f>IF(AND(O$8&gt;='작업 관리'!$E22,O$8&lt;='작업 관리'!$F22),IF('작업 관리'!$I22="마일스톤",3,IF('작업 관리'!$G22="완료",2,1)),"")</x:f>
      </x:c>
      <x:c r="P22" s="55" t="str">
        <x:f>IF(AND(P$8&gt;='작업 관리'!$E22,P$8&lt;='작업 관리'!$F22),IF('작업 관리'!$I22="마일스톤",3,IF('작업 관리'!$G22="완료",2,1)),"")</x:f>
      </x:c>
      <x:c r="Q22" s="55" t="str">
        <x:f>IF(AND(Q$8&gt;='작업 관리'!$E22,Q$8&lt;='작업 관리'!$F22),IF('작업 관리'!$I22="마일스톤",3,IF('작업 관리'!$G22="완료",2,1)),"")</x:f>
      </x:c>
      <x:c r="R22" s="55" t="str">
        <x:f>IF(AND(R$8&gt;='작업 관리'!$E22,R$8&lt;='작업 관리'!$F22),IF('작업 관리'!$I22="마일스톤",3,IF('작업 관리'!$G22="완료",2,1)),"")</x:f>
      </x:c>
      <x:c r="S22" s="55" t="str">
        <x:f>IF(AND(S$8&gt;='작업 관리'!$E22,S$8&lt;='작업 관리'!$F22),IF('작업 관리'!$I22="마일스톤",3,IF('작업 관리'!$G22="완료",2,1)),"")</x:f>
      </x:c>
    </x:row>
    <x:row r="23" ht="48" customHeight="1">
      <x:c r="A23" s="72" t="str">
        <x:f>'작업 관리'!A23</x:f>
        <x:v>2.8</x:v>
      </x:c>
      <x:c r="B23" s="15" t="str">
        <x:f>'작업 관리'!C23</x:f>
        <x:v>과거 재무·주석 학습자료 수집</x:v>
      </x:c>
      <x:c r="C23" s="2" t="str">
        <x:f>'작업 관리'!D23</x:f>
        <x:v>김동혁</x:v>
      </x:c>
      <x:c r="D23" s="54" t="str">
        <x:f>IF(AND(D$8&gt;='작업 관리'!$E23,D$8&lt;='작업 관리'!$F23),IF('작업 관리'!$I23="마일스톤",3,IF('작업 관리'!$G23="완료",2,1)),"")</x:f>
      </x:c>
      <x:c r="E23" s="54" t="str">
        <x:f>IF(AND(E$8&gt;='작업 관리'!$E23,E$8&lt;='작업 관리'!$F23),IF('작업 관리'!$I23="마일스톤",3,IF('작업 관리'!$G23="완료",2,1)),"")</x:f>
      </x:c>
      <x:c r="F23" s="54" t="str">
        <x:f>IF(AND(F$8&gt;='작업 관리'!$E23,F$8&lt;='작업 관리'!$F23),IF('작업 관리'!$I23="마일스톤",3,IF('작업 관리'!$G23="완료",2,1)),"")</x:f>
      </x:c>
      <x:c r="G23" s="56" t="n">
        <x:f>IF(AND(G$8&gt;='작업 관리'!$E23,G$8&lt;='작업 관리'!$F23),IF('작업 관리'!$I23="마일스톤",3,IF('작업 관리'!$G23="완료",2,1)),"")</x:f>
        <x:v>1</x:v>
      </x:c>
      <x:c r="H23" s="56" t="n">
        <x:f>IF(AND(H$8&gt;='작업 관리'!$E23,H$8&lt;='작업 관리'!$F23),IF('작업 관리'!$I23="마일스톤",3,IF('작업 관리'!$G23="완료",2,1)),"")</x:f>
        <x:v>1</x:v>
      </x:c>
      <x:c r="I23" s="54" t="str">
        <x:f>IF(AND(I$8&gt;='작업 관리'!$E23,I$8&lt;='작업 관리'!$F23),IF('작업 관리'!$I23="마일스톤",3,IF('작업 관리'!$G23="완료",2,1)),"")</x:f>
      </x:c>
      <x:c r="J23" s="54" t="str">
        <x:f>IF(AND(J$8&gt;='작업 관리'!$E23,J$8&lt;='작업 관리'!$F23),IF('작업 관리'!$I23="마일스톤",3,IF('작업 관리'!$G23="완료",2,1)),"")</x:f>
      </x:c>
      <x:c r="K23" s="54" t="str">
        <x:f>IF(AND(K$8&gt;='작업 관리'!$E23,K$8&lt;='작업 관리'!$F23),IF('작업 관리'!$I23="마일스톤",3,IF('작업 관리'!$G23="완료",2,1)),"")</x:f>
      </x:c>
      <x:c r="L23" s="54" t="str">
        <x:f>IF(AND(L$8&gt;='작업 관리'!$E23,L$8&lt;='작업 관리'!$F23),IF('작업 관리'!$I23="마일스톤",3,IF('작업 관리'!$G23="완료",2,1)),"")</x:f>
      </x:c>
      <x:c r="M23" s="54" t="str">
        <x:f>IF(AND(M$8&gt;='작업 관리'!$E23,M$8&lt;='작업 관리'!$F23),IF('작업 관리'!$I23="마일스톤",3,IF('작업 관리'!$G23="완료",2,1)),"")</x:f>
      </x:c>
      <x:c r="N23" s="56" t="str">
        <x:f>IF(AND(N$8&gt;='작업 관리'!$E23,N$8&lt;='작업 관리'!$F23),IF('작업 관리'!$I23="마일스톤",3,IF('작업 관리'!$G23="완료",2,1)),"")</x:f>
      </x:c>
      <x:c r="O23" s="56" t="str">
        <x:f>IF(AND(O$8&gt;='작업 관리'!$E23,O$8&lt;='작업 관리'!$F23),IF('작업 관리'!$I23="마일스톤",3,IF('작업 관리'!$G23="완료",2,1)),"")</x:f>
      </x:c>
      <x:c r="P23" s="54" t="str">
        <x:f>IF(AND(P$8&gt;='작업 관리'!$E23,P$8&lt;='작업 관리'!$F23),IF('작업 관리'!$I23="마일스톤",3,IF('작업 관리'!$G23="완료",2,1)),"")</x:f>
      </x:c>
      <x:c r="Q23" s="54" t="str">
        <x:f>IF(AND(Q$8&gt;='작업 관리'!$E23,Q$8&lt;='작업 관리'!$F23),IF('작업 관리'!$I23="마일스톤",3,IF('작업 관리'!$G23="완료",2,1)),"")</x:f>
      </x:c>
      <x:c r="R23" s="54" t="str">
        <x:f>IF(AND(R$8&gt;='작업 관리'!$E23,R$8&lt;='작업 관리'!$F23),IF('작업 관리'!$I23="마일스톤",3,IF('작업 관리'!$G23="완료",2,1)),"")</x:f>
      </x:c>
      <x:c r="S23" s="54" t="str">
        <x:f>IF(AND(S$8&gt;='작업 관리'!$E23,S$8&lt;='작업 관리'!$F23),IF('작업 관리'!$I23="마일스톤",3,IF('작업 관리'!$G23="완료",2,1)),"")</x:f>
      </x:c>
    </x:row>
    <x:row r="24" ht="48" customHeight="1">
      <x:c r="A24" s="83" t="str">
        <x:f>'작업 관리'!A24</x:f>
        <x:v>2.5</x:v>
      </x:c>
      <x:c r="B24" s="16" t="str">
        <x:f>'작업 관리'!C24</x:f>
        <x:v>원문 대조 정답지 작성</x:v>
      </x:c>
      <x:c r="C24" s="14" t="str">
        <x:f>'작업 관리'!D24</x:f>
        <x:v>최수인</x:v>
      </x:c>
      <x:c r="D24" s="55" t="str">
        <x:f>IF(AND(D$8&gt;='작업 관리'!$E24,D$8&lt;='작업 관리'!$F24),IF('작업 관리'!$I24="마일스톤",3,IF('작업 관리'!$G24="완료",2,1)),"")</x:f>
      </x:c>
      <x:c r="E24" s="55" t="str">
        <x:f>IF(AND(E$8&gt;='작업 관리'!$E24,E$8&lt;='작업 관리'!$F24),IF('작업 관리'!$I24="마일스톤",3,IF('작업 관리'!$G24="완료",2,1)),"")</x:f>
      </x:c>
      <x:c r="F24" s="55" t="str">
        <x:f>IF(AND(F$8&gt;='작업 관리'!$E24,F$8&lt;='작업 관리'!$F24),IF('작업 관리'!$I24="마일스톤",3,IF('작업 관리'!$G24="완료",2,1)),"")</x:f>
      </x:c>
      <x:c r="G24" s="56" t="n">
        <x:f>IF(AND(G$8&gt;='작업 관리'!$E24,G$8&lt;='작업 관리'!$F24),IF('작업 관리'!$I24="마일스톤",3,IF('작업 관리'!$G24="완료",2,1)),"")</x:f>
        <x:v>1</x:v>
      </x:c>
      <x:c r="H24" s="56" t="n">
        <x:f>IF(AND(H$8&gt;='작업 관리'!$E24,H$8&lt;='작업 관리'!$F24),IF('작업 관리'!$I24="마일스톤",3,IF('작업 관리'!$G24="완료",2,1)),"")</x:f>
        <x:v>1</x:v>
      </x:c>
      <x:c r="I24" s="55" t="n">
        <x:f>IF(AND(I$8&gt;='작업 관리'!$E24,I$8&lt;='작업 관리'!$F24),IF('작업 관리'!$I24="마일스톤",3,IF('작업 관리'!$G24="완료",2,1)),"")</x:f>
        <x:v>1</x:v>
      </x:c>
      <x:c r="J24" s="55" t="str">
        <x:f>IF(AND(J$8&gt;='작업 관리'!$E24,J$8&lt;='작업 관리'!$F24),IF('작업 관리'!$I24="마일스톤",3,IF('작업 관리'!$G24="완료",2,1)),"")</x:f>
      </x:c>
      <x:c r="K24" s="55" t="str">
        <x:f>IF(AND(K$8&gt;='작업 관리'!$E24,K$8&lt;='작업 관리'!$F24),IF('작업 관리'!$I24="마일스톤",3,IF('작업 관리'!$G24="완료",2,1)),"")</x:f>
      </x:c>
      <x:c r="L24" s="55" t="str">
        <x:f>IF(AND(L$8&gt;='작업 관리'!$E24,L$8&lt;='작업 관리'!$F24),IF('작업 관리'!$I24="마일스톤",3,IF('작업 관리'!$G24="완료",2,1)),"")</x:f>
      </x:c>
      <x:c r="M24" s="55" t="str">
        <x:f>IF(AND(M$8&gt;='작업 관리'!$E24,M$8&lt;='작업 관리'!$F24),IF('작업 관리'!$I24="마일스톤",3,IF('작업 관리'!$G24="완료",2,1)),"")</x:f>
      </x:c>
      <x:c r="N24" s="56" t="str">
        <x:f>IF(AND(N$8&gt;='작업 관리'!$E24,N$8&lt;='작업 관리'!$F24),IF('작업 관리'!$I24="마일스톤",3,IF('작업 관리'!$G24="완료",2,1)),"")</x:f>
      </x:c>
      <x:c r="O24" s="56" t="str">
        <x:f>IF(AND(O$8&gt;='작업 관리'!$E24,O$8&lt;='작업 관리'!$F24),IF('작업 관리'!$I24="마일스톤",3,IF('작업 관리'!$G24="완료",2,1)),"")</x:f>
      </x:c>
      <x:c r="P24" s="55" t="str">
        <x:f>IF(AND(P$8&gt;='작업 관리'!$E24,P$8&lt;='작업 관리'!$F24),IF('작업 관리'!$I24="마일스톤",3,IF('작업 관리'!$G24="완료",2,1)),"")</x:f>
      </x:c>
      <x:c r="Q24" s="55" t="str">
        <x:f>IF(AND(Q$8&gt;='작업 관리'!$E24,Q$8&lt;='작업 관리'!$F24),IF('작업 관리'!$I24="마일스톤",3,IF('작업 관리'!$G24="완료",2,1)),"")</x:f>
      </x:c>
      <x:c r="R24" s="55" t="str">
        <x:f>IF(AND(R$8&gt;='작업 관리'!$E24,R$8&lt;='작업 관리'!$F24),IF('작업 관리'!$I24="마일스톤",3,IF('작업 관리'!$G24="완료",2,1)),"")</x:f>
      </x:c>
      <x:c r="S24" s="55" t="str">
        <x:f>IF(AND(S$8&gt;='작업 관리'!$E24,S$8&lt;='작업 관리'!$F24),IF('작업 관리'!$I24="마일스톤",3,IF('작업 관리'!$G24="완료",2,1)),"")</x:f>
      </x:c>
    </x:row>
    <x:row r="25" ht="48" customHeight="1">
      <x:c r="A25" s="72" t="str">
        <x:f>'작업 관리'!A25</x:f>
        <x:v>2.3</x:v>
      </x:c>
      <x:c r="B25" s="15" t="str">
        <x:f>'작업 관리'!C25</x:f>
        <x:v>주석 구간·교차참조·추출 표본 확보</x:v>
      </x:c>
      <x:c r="C25" s="2" t="str">
        <x:f>'작업 관리'!D25</x:f>
        <x:v>김동혁</x:v>
      </x:c>
      <x:c r="D25" s="54" t="str">
        <x:f>IF(AND(D$8&gt;='작업 관리'!$E25,D$8&lt;='작업 관리'!$F25),IF('작업 관리'!$I25="마일스톤",3,IF('작업 관리'!$G25="완료",2,1)),"")</x:f>
      </x:c>
      <x:c r="E25" s="54" t="str">
        <x:f>IF(AND(E$8&gt;='작업 관리'!$E25,E$8&lt;='작업 관리'!$F25),IF('작업 관리'!$I25="마일스톤",3,IF('작업 관리'!$G25="완료",2,1)),"")</x:f>
      </x:c>
      <x:c r="F25" s="54" t="str">
        <x:f>IF(AND(F$8&gt;='작업 관리'!$E25,F$8&lt;='작업 관리'!$F25),IF('작업 관리'!$I25="마일스톤",3,IF('작업 관리'!$G25="완료",2,1)),"")</x:f>
      </x:c>
      <x:c r="G25" s="56" t="str">
        <x:f>IF(AND(G$8&gt;='작업 관리'!$E25,G$8&lt;='작업 관리'!$F25),IF('작업 관리'!$I25="마일스톤",3,IF('작업 관리'!$G25="완료",2,1)),"")</x:f>
      </x:c>
      <x:c r="H25" s="56" t="n">
        <x:f>IF(AND(H$8&gt;='작업 관리'!$E25,H$8&lt;='작업 관리'!$F25),IF('작업 관리'!$I25="마일스톤",3,IF('작업 관리'!$G25="완료",2,1)),"")</x:f>
        <x:v>1</x:v>
      </x:c>
      <x:c r="I25" s="54" t="str">
        <x:f>IF(AND(I$8&gt;='작업 관리'!$E25,I$8&lt;='작업 관리'!$F25),IF('작업 관리'!$I25="마일스톤",3,IF('작업 관리'!$G25="완료",2,1)),"")</x:f>
      </x:c>
      <x:c r="J25" s="54" t="str">
        <x:f>IF(AND(J$8&gt;='작업 관리'!$E25,J$8&lt;='작업 관리'!$F25),IF('작업 관리'!$I25="마일스톤",3,IF('작업 관리'!$G25="완료",2,1)),"")</x:f>
      </x:c>
      <x:c r="K25" s="54" t="str">
        <x:f>IF(AND(K$8&gt;='작업 관리'!$E25,K$8&lt;='작업 관리'!$F25),IF('작업 관리'!$I25="마일스톤",3,IF('작업 관리'!$G25="완료",2,1)),"")</x:f>
      </x:c>
      <x:c r="L25" s="54" t="str">
        <x:f>IF(AND(L$8&gt;='작업 관리'!$E25,L$8&lt;='작업 관리'!$F25),IF('작업 관리'!$I25="마일스톤",3,IF('작업 관리'!$G25="완료",2,1)),"")</x:f>
      </x:c>
      <x:c r="M25" s="54" t="str">
        <x:f>IF(AND(M$8&gt;='작업 관리'!$E25,M$8&lt;='작업 관리'!$F25),IF('작업 관리'!$I25="마일스톤",3,IF('작업 관리'!$G25="완료",2,1)),"")</x:f>
      </x:c>
      <x:c r="N25" s="56" t="str">
        <x:f>IF(AND(N$8&gt;='작업 관리'!$E25,N$8&lt;='작업 관리'!$F25),IF('작업 관리'!$I25="마일스톤",3,IF('작업 관리'!$G25="완료",2,1)),"")</x:f>
      </x:c>
      <x:c r="O25" s="56" t="str">
        <x:f>IF(AND(O$8&gt;='작업 관리'!$E25,O$8&lt;='작업 관리'!$F25),IF('작업 관리'!$I25="마일스톤",3,IF('작업 관리'!$G25="완료",2,1)),"")</x:f>
      </x:c>
      <x:c r="P25" s="54" t="str">
        <x:f>IF(AND(P$8&gt;='작업 관리'!$E25,P$8&lt;='작업 관리'!$F25),IF('작업 관리'!$I25="마일스톤",3,IF('작업 관리'!$G25="완료",2,1)),"")</x:f>
      </x:c>
      <x:c r="Q25" s="54" t="str">
        <x:f>IF(AND(Q$8&gt;='작업 관리'!$E25,Q$8&lt;='작업 관리'!$F25),IF('작업 관리'!$I25="마일스톤",3,IF('작업 관리'!$G25="완료",2,1)),"")</x:f>
      </x:c>
      <x:c r="R25" s="54" t="str">
        <x:f>IF(AND(R$8&gt;='작업 관리'!$E25,R$8&lt;='작업 관리'!$F25),IF('작업 관리'!$I25="마일스톤",3,IF('작업 관리'!$G25="완료",2,1)),"")</x:f>
      </x:c>
      <x:c r="S25" s="54" t="str">
        <x:f>IF(AND(S$8&gt;='작업 관리'!$E25,S$8&lt;='작업 관리'!$F25),IF('작업 관리'!$I25="마일스톤",3,IF('작업 관리'!$G25="완료",2,1)),"")</x:f>
      </x:c>
    </x:row>
    <x:row r="26" ht="48" customHeight="1">
      <x:c r="A26" s="83" t="str">
        <x:f>'작업 관리'!A26</x:f>
        <x:v>2.9</x:v>
      </x:c>
      <x:c r="B26" s="16" t="str">
        <x:f>'작업 관리'!C26</x:f>
        <x:v>12개월 라벨과 관측기간 구성</x:v>
      </x:c>
      <x:c r="C26" s="14" t="str">
        <x:f>'작업 관리'!D26</x:f>
        <x:v>김동민</x:v>
      </x:c>
      <x:c r="D26" s="55" t="str">
        <x:f>IF(AND(D$8&gt;='작업 관리'!$E26,D$8&lt;='작업 관리'!$F26),IF('작업 관리'!$I26="마일스톤",3,IF('작업 관리'!$G26="완료",2,1)),"")</x:f>
      </x:c>
      <x:c r="E26" s="55" t="str">
        <x:f>IF(AND(E$8&gt;='작업 관리'!$E26,E$8&lt;='작업 관리'!$F26),IF('작업 관리'!$I26="마일스톤",3,IF('작업 관리'!$G26="완료",2,1)),"")</x:f>
      </x:c>
      <x:c r="F26" s="55" t="str">
        <x:f>IF(AND(F$8&gt;='작업 관리'!$E26,F$8&lt;='작업 관리'!$F26),IF('작업 관리'!$I26="마일스톤",3,IF('작업 관리'!$G26="완료",2,1)),"")</x:f>
      </x:c>
      <x:c r="G26" s="56" t="str">
        <x:f>IF(AND(G$8&gt;='작업 관리'!$E26,G$8&lt;='작업 관리'!$F26),IF('작업 관리'!$I26="마일스톤",3,IF('작업 관리'!$G26="완료",2,1)),"")</x:f>
      </x:c>
      <x:c r="H26" s="56" t="n">
        <x:f>IF(AND(H$8&gt;='작업 관리'!$E26,H$8&lt;='작업 관리'!$F26),IF('작업 관리'!$I26="마일스톤",3,IF('작업 관리'!$G26="완료",2,1)),"")</x:f>
        <x:v>1</x:v>
      </x:c>
      <x:c r="I26" s="55" t="n">
        <x:f>IF(AND(I$8&gt;='작업 관리'!$E26,I$8&lt;='작업 관리'!$F26),IF('작업 관리'!$I26="마일스톤",3,IF('작업 관리'!$G26="완료",2,1)),"")</x:f>
        <x:v>1</x:v>
      </x:c>
      <x:c r="J26" s="55" t="str">
        <x:f>IF(AND(J$8&gt;='작업 관리'!$E26,J$8&lt;='작업 관리'!$F26),IF('작업 관리'!$I26="마일스톤",3,IF('작업 관리'!$G26="완료",2,1)),"")</x:f>
      </x:c>
      <x:c r="K26" s="55" t="str">
        <x:f>IF(AND(K$8&gt;='작업 관리'!$E26,K$8&lt;='작업 관리'!$F26),IF('작업 관리'!$I26="마일스톤",3,IF('작업 관리'!$G26="완료",2,1)),"")</x:f>
      </x:c>
      <x:c r="L26" s="55" t="str">
        <x:f>IF(AND(L$8&gt;='작업 관리'!$E26,L$8&lt;='작업 관리'!$F26),IF('작업 관리'!$I26="마일스톤",3,IF('작업 관리'!$G26="완료",2,1)),"")</x:f>
      </x:c>
      <x:c r="M26" s="55" t="str">
        <x:f>IF(AND(M$8&gt;='작업 관리'!$E26,M$8&lt;='작업 관리'!$F26),IF('작업 관리'!$I26="마일스톤",3,IF('작업 관리'!$G26="완료",2,1)),"")</x:f>
      </x:c>
      <x:c r="N26" s="56" t="str">
        <x:f>IF(AND(N$8&gt;='작업 관리'!$E26,N$8&lt;='작업 관리'!$F26),IF('작업 관리'!$I26="마일스톤",3,IF('작업 관리'!$G26="완료",2,1)),"")</x:f>
      </x:c>
      <x:c r="O26" s="56" t="str">
        <x:f>IF(AND(O$8&gt;='작업 관리'!$E26,O$8&lt;='작업 관리'!$F26),IF('작업 관리'!$I26="마일스톤",3,IF('작업 관리'!$G26="완료",2,1)),"")</x:f>
      </x:c>
      <x:c r="P26" s="55" t="str">
        <x:f>IF(AND(P$8&gt;='작업 관리'!$E26,P$8&lt;='작업 관리'!$F26),IF('작업 관리'!$I26="마일스톤",3,IF('작업 관리'!$G26="완료",2,1)),"")</x:f>
      </x:c>
      <x:c r="Q26" s="55" t="str">
        <x:f>IF(AND(Q$8&gt;='작업 관리'!$E26,Q$8&lt;='작업 관리'!$F26),IF('작업 관리'!$I26="마일스톤",3,IF('작업 관리'!$G26="완료",2,1)),"")</x:f>
      </x:c>
      <x:c r="R26" s="55" t="str">
        <x:f>IF(AND(R$8&gt;='작업 관리'!$E26,R$8&lt;='작업 관리'!$F26),IF('작업 관리'!$I26="마일스톤",3,IF('작업 관리'!$G26="완료",2,1)),"")</x:f>
      </x:c>
      <x:c r="S26" s="55" t="str">
        <x:f>IF(AND(S$8&gt;='작업 관리'!$E26,S$8&lt;='작업 관리'!$F26),IF('작업 관리'!$I26="마일스톤",3,IF('작업 관리'!$G26="완료",2,1)),"")</x:f>
      </x:c>
    </x:row>
    <x:row r="27" ht="48" customHeight="1">
      <x:c r="A27" s="72" t="str">
        <x:f>'작업 관리'!A27</x:f>
        <x:v>2.10</x:v>
      </x:c>
      <x:c r="B27" s="15" t="str">
        <x:f>'작업 관리'!C27</x:f>
        <x:v>업종별 필수 계정 확보율 점검</x:v>
      </x:c>
      <x:c r="C27" s="2" t="str">
        <x:f>'작업 관리'!D27</x:f>
        <x:v>김동민</x:v>
      </x:c>
      <x:c r="D27" s="54" t="str">
        <x:f>IF(AND(D$8&gt;='작업 관리'!$E27,D$8&lt;='작업 관리'!$F27),IF('작업 관리'!$I27="마일스톤",3,IF('작업 관리'!$G27="완료",2,1)),"")</x:f>
      </x:c>
      <x:c r="E27" s="54" t="str">
        <x:f>IF(AND(E$8&gt;='작업 관리'!$E27,E$8&lt;='작업 관리'!$F27),IF('작업 관리'!$I27="마일스톤",3,IF('작업 관리'!$G27="완료",2,1)),"")</x:f>
      </x:c>
      <x:c r="F27" s="54" t="str">
        <x:f>IF(AND(F$8&gt;='작업 관리'!$E27,F$8&lt;='작업 관리'!$F27),IF('작업 관리'!$I27="마일스톤",3,IF('작업 관리'!$G27="완료",2,1)),"")</x:f>
      </x:c>
      <x:c r="G27" s="56" t="str">
        <x:f>IF(AND(G$8&gt;='작업 관리'!$E27,G$8&lt;='작업 관리'!$F27),IF('작업 관리'!$I27="마일스톤",3,IF('작업 관리'!$G27="완료",2,1)),"")</x:f>
      </x:c>
      <x:c r="H27" s="56" t="n">
        <x:f>IF(AND(H$8&gt;='작업 관리'!$E27,H$8&lt;='작업 관리'!$F27),IF('작업 관리'!$I27="마일스톤",3,IF('작업 관리'!$G27="완료",2,1)),"")</x:f>
        <x:v>1</x:v>
      </x:c>
      <x:c r="I27" s="54" t="n">
        <x:f>IF(AND(I$8&gt;='작업 관리'!$E27,I$8&lt;='작업 관리'!$F27),IF('작업 관리'!$I27="마일스톤",3,IF('작업 관리'!$G27="완료",2,1)),"")</x:f>
        <x:v>1</x:v>
      </x:c>
      <x:c r="J27" s="54" t="str">
        <x:f>IF(AND(J$8&gt;='작업 관리'!$E27,J$8&lt;='작업 관리'!$F27),IF('작업 관리'!$I27="마일스톤",3,IF('작업 관리'!$G27="완료",2,1)),"")</x:f>
      </x:c>
      <x:c r="K27" s="54" t="str">
        <x:f>IF(AND(K$8&gt;='작업 관리'!$E27,K$8&lt;='작업 관리'!$F27),IF('작업 관리'!$I27="마일스톤",3,IF('작업 관리'!$G27="완료",2,1)),"")</x:f>
      </x:c>
      <x:c r="L27" s="54" t="str">
        <x:f>IF(AND(L$8&gt;='작업 관리'!$E27,L$8&lt;='작업 관리'!$F27),IF('작업 관리'!$I27="마일스톤",3,IF('작업 관리'!$G27="완료",2,1)),"")</x:f>
      </x:c>
      <x:c r="M27" s="54" t="str">
        <x:f>IF(AND(M$8&gt;='작업 관리'!$E27,M$8&lt;='작업 관리'!$F27),IF('작업 관리'!$I27="마일스톤",3,IF('작업 관리'!$G27="완료",2,1)),"")</x:f>
      </x:c>
      <x:c r="N27" s="56" t="str">
        <x:f>IF(AND(N$8&gt;='작업 관리'!$E27,N$8&lt;='작업 관리'!$F27),IF('작업 관리'!$I27="마일스톤",3,IF('작업 관리'!$G27="완료",2,1)),"")</x:f>
      </x:c>
      <x:c r="O27" s="56" t="str">
        <x:f>IF(AND(O$8&gt;='작업 관리'!$E27,O$8&lt;='작업 관리'!$F27),IF('작업 관리'!$I27="마일스톤",3,IF('작업 관리'!$G27="완료",2,1)),"")</x:f>
      </x:c>
      <x:c r="P27" s="54" t="str">
        <x:f>IF(AND(P$8&gt;='작업 관리'!$E27,P$8&lt;='작업 관리'!$F27),IF('작업 관리'!$I27="마일스톤",3,IF('작업 관리'!$G27="완료",2,1)),"")</x:f>
      </x:c>
      <x:c r="Q27" s="54" t="str">
        <x:f>IF(AND(Q$8&gt;='작업 관리'!$E27,Q$8&lt;='작업 관리'!$F27),IF('작업 관리'!$I27="마일스톤",3,IF('작업 관리'!$G27="완료",2,1)),"")</x:f>
      </x:c>
      <x:c r="R27" s="54" t="str">
        <x:f>IF(AND(R$8&gt;='작업 관리'!$E27,R$8&lt;='작업 관리'!$F27),IF('작업 관리'!$I27="마일스톤",3,IF('작업 관리'!$G27="완료",2,1)),"")</x:f>
      </x:c>
      <x:c r="S27" s="54" t="str">
        <x:f>IF(AND(S$8&gt;='작업 관리'!$E27,S$8&lt;='작업 관리'!$F27),IF('작업 관리'!$I27="마일스톤",3,IF('작업 관리'!$G27="완료",2,1)),"")</x:f>
      </x:c>
    </x:row>
    <x:row r="28" ht="48" customHeight="1">
      <x:c r="A28" s="83" t="str">
        <x:f>'작업 관리'!A28</x:f>
        <x:v>2.11</x:v>
      </x:c>
      <x:c r="B28" s="16" t="str">
        <x:f>'작업 관리'!C28</x:f>
        <x:v>주석 원문 구간·추출 검출 상태 저장</x:v>
      </x:c>
      <x:c r="C28" s="14" t="str">
        <x:f>'작업 관리'!D28</x:f>
        <x:v>김동혁</x:v>
      </x:c>
      <x:c r="D28" s="55" t="str">
        <x:f>IF(AND(D$8&gt;='작업 관리'!$E28,D$8&lt;='작업 관리'!$F28),IF('작업 관리'!$I28="마일스톤",3,IF('작업 관리'!$G28="완료",2,1)),"")</x:f>
      </x:c>
      <x:c r="E28" s="55" t="str">
        <x:f>IF(AND(E$8&gt;='작업 관리'!$E28,E$8&lt;='작업 관리'!$F28),IF('작업 관리'!$I28="마일스톤",3,IF('작업 관리'!$G28="완료",2,1)),"")</x:f>
      </x:c>
      <x:c r="F28" s="55" t="str">
        <x:f>IF(AND(F$8&gt;='작업 관리'!$E28,F$8&lt;='작업 관리'!$F28),IF('작업 관리'!$I28="마일스톤",3,IF('작업 관리'!$G28="완료",2,1)),"")</x:f>
      </x:c>
      <x:c r="G28" s="56" t="str">
        <x:f>IF(AND(G$8&gt;='작업 관리'!$E28,G$8&lt;='작업 관리'!$F28),IF('작업 관리'!$I28="마일스톤",3,IF('작업 관리'!$G28="완료",2,1)),"")</x:f>
      </x:c>
      <x:c r="H28" s="56" t="n">
        <x:f>IF(AND(H$8&gt;='작업 관리'!$E28,H$8&lt;='작업 관리'!$F28),IF('작업 관리'!$I28="마일스톤",3,IF('작업 관리'!$G28="완료",2,1)),"")</x:f>
        <x:v>1</x:v>
      </x:c>
      <x:c r="I28" s="55" t="n">
        <x:f>IF(AND(I$8&gt;='작업 관리'!$E28,I$8&lt;='작업 관리'!$F28),IF('작업 관리'!$I28="마일스톤",3,IF('작업 관리'!$G28="완료",2,1)),"")</x:f>
        <x:v>1</x:v>
      </x:c>
      <x:c r="J28" s="55" t="str">
        <x:f>IF(AND(J$8&gt;='작업 관리'!$E28,J$8&lt;='작업 관리'!$F28),IF('작업 관리'!$I28="마일스톤",3,IF('작업 관리'!$G28="완료",2,1)),"")</x:f>
      </x:c>
      <x:c r="K28" s="55" t="str">
        <x:f>IF(AND(K$8&gt;='작업 관리'!$E28,K$8&lt;='작업 관리'!$F28),IF('작업 관리'!$I28="마일스톤",3,IF('작업 관리'!$G28="완료",2,1)),"")</x:f>
      </x:c>
      <x:c r="L28" s="55" t="str">
        <x:f>IF(AND(L$8&gt;='작업 관리'!$E28,L$8&lt;='작업 관리'!$F28),IF('작업 관리'!$I28="마일스톤",3,IF('작업 관리'!$G28="완료",2,1)),"")</x:f>
      </x:c>
      <x:c r="M28" s="55" t="str">
        <x:f>IF(AND(M$8&gt;='작업 관리'!$E28,M$8&lt;='작업 관리'!$F28),IF('작업 관리'!$I28="마일스톤",3,IF('작업 관리'!$G28="완료",2,1)),"")</x:f>
      </x:c>
      <x:c r="N28" s="56" t="str">
        <x:f>IF(AND(N$8&gt;='작업 관리'!$E28,N$8&lt;='작업 관리'!$F28),IF('작업 관리'!$I28="마일스톤",3,IF('작업 관리'!$G28="완료",2,1)),"")</x:f>
      </x:c>
      <x:c r="O28" s="56" t="str">
        <x:f>IF(AND(O$8&gt;='작업 관리'!$E28,O$8&lt;='작업 관리'!$F28),IF('작업 관리'!$I28="마일스톤",3,IF('작업 관리'!$G28="완료",2,1)),"")</x:f>
      </x:c>
      <x:c r="P28" s="55" t="str">
        <x:f>IF(AND(P$8&gt;='작업 관리'!$E28,P$8&lt;='작업 관리'!$F28),IF('작업 관리'!$I28="마일스톤",3,IF('작업 관리'!$G28="완료",2,1)),"")</x:f>
      </x:c>
      <x:c r="Q28" s="55" t="str">
        <x:f>IF(AND(Q$8&gt;='작업 관리'!$E28,Q$8&lt;='작업 관리'!$F28),IF('작업 관리'!$I28="마일스톤",3,IF('작업 관리'!$G28="완료",2,1)),"")</x:f>
      </x:c>
      <x:c r="R28" s="55" t="str">
        <x:f>IF(AND(R$8&gt;='작업 관리'!$E28,R$8&lt;='작업 관리'!$F28),IF('작업 관리'!$I28="마일스톤",3,IF('작업 관리'!$G28="완료",2,1)),"")</x:f>
      </x:c>
      <x:c r="S28" s="55" t="str">
        <x:f>IF(AND(S$8&gt;='작업 관리'!$E28,S$8&lt;='작업 관리'!$F28),IF('작업 관리'!$I28="마일스톤",3,IF('작업 관리'!$G28="완료",2,1)),"")</x:f>
      </x:c>
    </x:row>
    <x:row r="29" ht="48" customHeight="1">
      <x:c r="A29" s="72" t="str">
        <x:f>'작업 관리'!A29</x:f>
        <x:v>2.4</x:v>
      </x:c>
      <x:c r="B29" s="15" t="str">
        <x:f>'작업 관리'!C29</x:f>
        <x:v>데이터 정합성과 결측 점검</x:v>
      </x:c>
      <x:c r="C29" s="2" t="str">
        <x:f>'작업 관리'!D29</x:f>
        <x:v>김동민</x:v>
      </x:c>
      <x:c r="D29" s="54" t="str">
        <x:f>IF(AND(D$8&gt;='작업 관리'!$E29,D$8&lt;='작업 관리'!$F29),IF('작업 관리'!$I29="마일스톤",3,IF('작업 관리'!$G29="완료",2,1)),"")</x:f>
      </x:c>
      <x:c r="E29" s="54" t="str">
        <x:f>IF(AND(E$8&gt;='작업 관리'!$E29,E$8&lt;='작업 관리'!$F29),IF('작업 관리'!$I29="마일스톤",3,IF('작업 관리'!$G29="완료",2,1)),"")</x:f>
      </x:c>
      <x:c r="F29" s="54" t="str">
        <x:f>IF(AND(F$8&gt;='작업 관리'!$E29,F$8&lt;='작업 관리'!$F29),IF('작업 관리'!$I29="마일스톤",3,IF('작업 관리'!$G29="완료",2,1)),"")</x:f>
      </x:c>
      <x:c r="G29" s="56" t="str">
        <x:f>IF(AND(G$8&gt;='작업 관리'!$E29,G$8&lt;='작업 관리'!$F29),IF('작업 관리'!$I29="마일스톤",3,IF('작업 관리'!$G29="완료",2,1)),"")</x:f>
      </x:c>
      <x:c r="H29" s="56" t="str">
        <x:f>IF(AND(H$8&gt;='작업 관리'!$E29,H$8&lt;='작업 관리'!$F29),IF('작업 관리'!$I29="마일스톤",3,IF('작업 관리'!$G29="완료",2,1)),"")</x:f>
      </x:c>
      <x:c r="I29" s="54" t="n">
        <x:f>IF(AND(I$8&gt;='작업 관리'!$E29,I$8&lt;='작업 관리'!$F29),IF('작업 관리'!$I29="마일스톤",3,IF('작업 관리'!$G29="완료",2,1)),"")</x:f>
        <x:v>1</x:v>
      </x:c>
      <x:c r="J29" s="54" t="str">
        <x:f>IF(AND(J$8&gt;='작업 관리'!$E29,J$8&lt;='작업 관리'!$F29),IF('작업 관리'!$I29="마일스톤",3,IF('작업 관리'!$G29="완료",2,1)),"")</x:f>
      </x:c>
      <x:c r="K29" s="54" t="str">
        <x:f>IF(AND(K$8&gt;='작업 관리'!$E29,K$8&lt;='작업 관리'!$F29),IF('작업 관리'!$I29="마일스톤",3,IF('작업 관리'!$G29="완료",2,1)),"")</x:f>
      </x:c>
      <x:c r="L29" s="54" t="str">
        <x:f>IF(AND(L$8&gt;='작업 관리'!$E29,L$8&lt;='작업 관리'!$F29),IF('작업 관리'!$I29="마일스톤",3,IF('작업 관리'!$G29="완료",2,1)),"")</x:f>
      </x:c>
      <x:c r="M29" s="54" t="str">
        <x:f>IF(AND(M$8&gt;='작업 관리'!$E29,M$8&lt;='작업 관리'!$F29),IF('작업 관리'!$I29="마일스톤",3,IF('작업 관리'!$G29="완료",2,1)),"")</x:f>
      </x:c>
      <x:c r="N29" s="56" t="str">
        <x:f>IF(AND(N$8&gt;='작업 관리'!$E29,N$8&lt;='작업 관리'!$F29),IF('작업 관리'!$I29="마일스톤",3,IF('작업 관리'!$G29="완료",2,1)),"")</x:f>
      </x:c>
      <x:c r="O29" s="56" t="str">
        <x:f>IF(AND(O$8&gt;='작업 관리'!$E29,O$8&lt;='작업 관리'!$F29),IF('작업 관리'!$I29="마일스톤",3,IF('작업 관리'!$G29="완료",2,1)),"")</x:f>
      </x:c>
      <x:c r="P29" s="54" t="str">
        <x:f>IF(AND(P$8&gt;='작업 관리'!$E29,P$8&lt;='작업 관리'!$F29),IF('작업 관리'!$I29="마일스톤",3,IF('작업 관리'!$G29="완료",2,1)),"")</x:f>
      </x:c>
      <x:c r="Q29" s="54" t="str">
        <x:f>IF(AND(Q$8&gt;='작업 관리'!$E29,Q$8&lt;='작업 관리'!$F29),IF('작업 관리'!$I29="마일스톤",3,IF('작업 관리'!$G29="완료",2,1)),"")</x:f>
      </x:c>
      <x:c r="R29" s="54" t="str">
        <x:f>IF(AND(R$8&gt;='작업 관리'!$E29,R$8&lt;='작업 관리'!$F29),IF('작업 관리'!$I29="마일스톤",3,IF('작업 관리'!$G29="완료",2,1)),"")</x:f>
      </x:c>
      <x:c r="S29" s="54" t="str">
        <x:f>IF(AND(S$8&gt;='작업 관리'!$E29,S$8&lt;='작업 관리'!$F29),IF('작업 관리'!$I29="마일스톤",3,IF('작업 관리'!$G29="완료",2,1)),"")</x:f>
      </x:c>
    </x:row>
    <x:row r="30" ht="48" customHeight="1">
      <x:c r="A30" s="83" t="str">
        <x:f>'작업 관리'!A30</x:f>
        <x:v>2.6</x:v>
      </x:c>
      <x:c r="B30" s="16" t="str">
        <x:f>'작업 관리'!C30</x:f>
        <x:v>업종 비교 표본 확보와 정리</x:v>
      </x:c>
      <x:c r="C30" s="14" t="str">
        <x:f>'작업 관리'!D30</x:f>
        <x:v>김동민</x:v>
      </x:c>
      <x:c r="D30" s="55" t="str">
        <x:f>IF(AND(D$8&gt;='작업 관리'!$E30,D$8&lt;='작업 관리'!$F30),IF('작업 관리'!$I30="마일스톤",3,IF('작업 관리'!$G30="완료",2,1)),"")</x:f>
      </x:c>
      <x:c r="E30" s="55" t="str">
        <x:f>IF(AND(E$8&gt;='작업 관리'!$E30,E$8&lt;='작업 관리'!$F30),IF('작업 관리'!$I30="마일스톤",3,IF('작업 관리'!$G30="완료",2,1)),"")</x:f>
      </x:c>
      <x:c r="F30" s="55" t="str">
        <x:f>IF(AND(F$8&gt;='작업 관리'!$E30,F$8&lt;='작업 관리'!$F30),IF('작업 관리'!$I30="마일스톤",3,IF('작업 관리'!$G30="완료",2,1)),"")</x:f>
      </x:c>
      <x:c r="G30" s="56" t="str">
        <x:f>IF(AND(G$8&gt;='작업 관리'!$E30,G$8&lt;='작업 관리'!$F30),IF('작업 관리'!$I30="마일스톤",3,IF('작업 관리'!$G30="완료",2,1)),"")</x:f>
      </x:c>
      <x:c r="H30" s="56" t="str">
        <x:f>IF(AND(H$8&gt;='작업 관리'!$E30,H$8&lt;='작업 관리'!$F30),IF('작업 관리'!$I30="마일스톤",3,IF('작업 관리'!$G30="완료",2,1)),"")</x:f>
      </x:c>
      <x:c r="I30" s="55" t="str">
        <x:f>IF(AND(I$8&gt;='작업 관리'!$E30,I$8&lt;='작업 관리'!$F30),IF('작업 관리'!$I30="마일스톤",3,IF('작업 관리'!$G30="완료",2,1)),"")</x:f>
      </x:c>
      <x:c r="J30" s="55" t="n">
        <x:f>IF(AND(J$8&gt;='작업 관리'!$E30,J$8&lt;='작업 관리'!$F30),IF('작업 관리'!$I30="마일스톤",3,IF('작업 관리'!$G30="완료",2,1)),"")</x:f>
        <x:v>1</x:v>
      </x:c>
      <x:c r="K30" s="55" t="n">
        <x:f>IF(AND(K$8&gt;='작업 관리'!$E30,K$8&lt;='작업 관리'!$F30),IF('작업 관리'!$I30="마일스톤",3,IF('작업 관리'!$G30="완료",2,1)),"")</x:f>
        <x:v>1</x:v>
      </x:c>
      <x:c r="L30" s="55" t="str">
        <x:f>IF(AND(L$8&gt;='작업 관리'!$E30,L$8&lt;='작업 관리'!$F30),IF('작업 관리'!$I30="마일스톤",3,IF('작업 관리'!$G30="완료",2,1)),"")</x:f>
      </x:c>
      <x:c r="M30" s="55" t="str">
        <x:f>IF(AND(M$8&gt;='작업 관리'!$E30,M$8&lt;='작업 관리'!$F30),IF('작업 관리'!$I30="마일스톤",3,IF('작업 관리'!$G30="완료",2,1)),"")</x:f>
      </x:c>
      <x:c r="N30" s="56" t="str">
        <x:f>IF(AND(N$8&gt;='작업 관리'!$E30,N$8&lt;='작업 관리'!$F30),IF('작업 관리'!$I30="마일스톤",3,IF('작업 관리'!$G30="완료",2,1)),"")</x:f>
      </x:c>
      <x:c r="O30" s="56" t="str">
        <x:f>IF(AND(O$8&gt;='작업 관리'!$E30,O$8&lt;='작업 관리'!$F30),IF('작업 관리'!$I30="마일스톤",3,IF('작업 관리'!$G30="완료",2,1)),"")</x:f>
      </x:c>
      <x:c r="P30" s="55" t="str">
        <x:f>IF(AND(P$8&gt;='작업 관리'!$E30,P$8&lt;='작업 관리'!$F30),IF('작업 관리'!$I30="마일스톤",3,IF('작업 관리'!$G30="완료",2,1)),"")</x:f>
      </x:c>
      <x:c r="Q30" s="55" t="str">
        <x:f>IF(AND(Q$8&gt;='작업 관리'!$E30,Q$8&lt;='작업 관리'!$F30),IF('작업 관리'!$I30="마일스톤",3,IF('작업 관리'!$G30="완료",2,1)),"")</x:f>
      </x:c>
      <x:c r="R30" s="55" t="str">
        <x:f>IF(AND(R$8&gt;='작업 관리'!$E30,R$8&lt;='작업 관리'!$F30),IF('작업 관리'!$I30="마일스톤",3,IF('작업 관리'!$G30="완료",2,1)),"")</x:f>
      </x:c>
      <x:c r="S30" s="55" t="str">
        <x:f>IF(AND(S$8&gt;='작업 관리'!$E30,S$8&lt;='작업 관리'!$F30),IF('작업 관리'!$I30="마일스톤",3,IF('작업 관리'!$G30="완료",2,1)),"")</x:f>
      </x:c>
    </x:row>
    <x:row r="31" ht="48" customHeight="1">
      <x:c r="A31" s="72" t="str">
        <x:f>'작업 관리'!A31</x:f>
        <x:v>3.2</x:v>
      </x:c>
      <x:c r="B31" s="15" t="str">
        <x:f>'작업 관리'!C31</x:f>
        <x:v>기업 검색과 업종 표시·필터</x:v>
      </x:c>
      <x:c r="C31" s="2" t="str">
        <x:f>'작업 관리'!D31</x:f>
        <x:v>서종원</x:v>
      </x:c>
      <x:c r="D31" s="54" t="str">
        <x:f>IF(AND(D$8&gt;='작업 관리'!$E31,D$8&lt;='작업 관리'!$F31),IF('작업 관리'!$I31="마일스톤",3,IF('작업 관리'!$G31="완료",2,1)),"")</x:f>
      </x:c>
      <x:c r="E31" s="54" t="str">
        <x:f>IF(AND(E$8&gt;='작업 관리'!$E31,E$8&lt;='작업 관리'!$F31),IF('작업 관리'!$I31="마일스톤",3,IF('작업 관리'!$G31="완료",2,1)),"")</x:f>
      </x:c>
      <x:c r="F31" s="54" t="str">
        <x:f>IF(AND(F$8&gt;='작업 관리'!$E31,F$8&lt;='작업 관리'!$F31),IF('작업 관리'!$I31="마일스톤",3,IF('작업 관리'!$G31="완료",2,1)),"")</x:f>
      </x:c>
      <x:c r="G31" s="56" t="n">
        <x:f>IF(AND(G$8&gt;='작업 관리'!$E31,G$8&lt;='작업 관리'!$F31),IF('작업 관리'!$I31="마일스톤",3,IF('작업 관리'!$G31="완료",2,1)),"")</x:f>
        <x:v>1</x:v>
      </x:c>
      <x:c r="H31" s="56" t="str">
        <x:f>IF(AND(H$8&gt;='작업 관리'!$E31,H$8&lt;='작업 관리'!$F31),IF('작업 관리'!$I31="마일스톤",3,IF('작업 관리'!$G31="완료",2,1)),"")</x:f>
      </x:c>
      <x:c r="I31" s="54" t="str">
        <x:f>IF(AND(I$8&gt;='작업 관리'!$E31,I$8&lt;='작업 관리'!$F31),IF('작업 관리'!$I31="마일스톤",3,IF('작업 관리'!$G31="완료",2,1)),"")</x:f>
      </x:c>
      <x:c r="J31" s="54" t="str">
        <x:f>IF(AND(J$8&gt;='작업 관리'!$E31,J$8&lt;='작업 관리'!$F31),IF('작업 관리'!$I31="마일스톤",3,IF('작업 관리'!$G31="완료",2,1)),"")</x:f>
      </x:c>
      <x:c r="K31" s="54" t="str">
        <x:f>IF(AND(K$8&gt;='작업 관리'!$E31,K$8&lt;='작업 관리'!$F31),IF('작업 관리'!$I31="마일스톤",3,IF('작업 관리'!$G31="완료",2,1)),"")</x:f>
      </x:c>
      <x:c r="L31" s="54" t="str">
        <x:f>IF(AND(L$8&gt;='작업 관리'!$E31,L$8&lt;='작업 관리'!$F31),IF('작업 관리'!$I31="마일스톤",3,IF('작업 관리'!$G31="완료",2,1)),"")</x:f>
      </x:c>
      <x:c r="M31" s="54" t="str">
        <x:f>IF(AND(M$8&gt;='작업 관리'!$E31,M$8&lt;='작업 관리'!$F31),IF('작업 관리'!$I31="마일스톤",3,IF('작업 관리'!$G31="완료",2,1)),"")</x:f>
      </x:c>
      <x:c r="N31" s="56" t="str">
        <x:f>IF(AND(N$8&gt;='작업 관리'!$E31,N$8&lt;='작업 관리'!$F31),IF('작업 관리'!$I31="마일스톤",3,IF('작업 관리'!$G31="완료",2,1)),"")</x:f>
      </x:c>
      <x:c r="O31" s="56" t="str">
        <x:f>IF(AND(O$8&gt;='작업 관리'!$E31,O$8&lt;='작업 관리'!$F31),IF('작업 관리'!$I31="마일스톤",3,IF('작업 관리'!$G31="완료",2,1)),"")</x:f>
      </x:c>
      <x:c r="P31" s="54" t="str">
        <x:f>IF(AND(P$8&gt;='작업 관리'!$E31,P$8&lt;='작업 관리'!$F31),IF('작업 관리'!$I31="마일스톤",3,IF('작업 관리'!$G31="완료",2,1)),"")</x:f>
      </x:c>
      <x:c r="Q31" s="54" t="str">
        <x:f>IF(AND(Q$8&gt;='작업 관리'!$E31,Q$8&lt;='작업 관리'!$F31),IF('작업 관리'!$I31="마일스톤",3,IF('작업 관리'!$G31="완료",2,1)),"")</x:f>
      </x:c>
      <x:c r="R31" s="54" t="str">
        <x:f>IF(AND(R$8&gt;='작업 관리'!$E31,R$8&lt;='작업 관리'!$F31),IF('작업 관리'!$I31="마일스톤",3,IF('작업 관리'!$G31="완료",2,1)),"")</x:f>
      </x:c>
      <x:c r="S31" s="54" t="str">
        <x:f>IF(AND(S$8&gt;='작업 관리'!$E31,S$8&lt;='작업 관리'!$F31),IF('작업 관리'!$I31="마일스톤",3,IF('작업 관리'!$G31="완료",2,1)),"")</x:f>
      </x:c>
    </x:row>
    <x:row r="32" ht="48" customHeight="1">
      <x:c r="A32" s="83" t="str">
        <x:f>'작업 관리'!A32</x:f>
        <x:v>3.1</x:v>
      </x:c>
      <x:c r="B32" s="16" t="str">
        <x:f>'작업 관리'!C32</x:f>
        <x:v>변동 기여도와 재무비율 계산</x:v>
      </x:c>
      <x:c r="C32" s="14" t="str">
        <x:f>'작업 관리'!D32</x:f>
        <x:v>김동민</x:v>
      </x:c>
      <x:c r="D32" s="55" t="str">
        <x:f>IF(AND(D$8&gt;='작업 관리'!$E32,D$8&lt;='작업 관리'!$F32),IF('작업 관리'!$I32="마일스톤",3,IF('작업 관리'!$G32="완료",2,1)),"")</x:f>
      </x:c>
      <x:c r="E32" s="55" t="str">
        <x:f>IF(AND(E$8&gt;='작업 관리'!$E32,E$8&lt;='작업 관리'!$F32),IF('작업 관리'!$I32="마일스톤",3,IF('작업 관리'!$G32="완료",2,1)),"")</x:f>
      </x:c>
      <x:c r="F32" s="55" t="str">
        <x:f>IF(AND(F$8&gt;='작업 관리'!$E32,F$8&lt;='작업 관리'!$F32),IF('작업 관리'!$I32="마일스톤",3,IF('작업 관리'!$G32="완료",2,1)),"")</x:f>
      </x:c>
      <x:c r="G32" s="56" t="n">
        <x:f>IF(AND(G$8&gt;='작업 관리'!$E32,G$8&lt;='작업 관리'!$F32),IF('작업 관리'!$I32="마일스톤",3,IF('작업 관리'!$G32="완료",2,1)),"")</x:f>
        <x:v>1</x:v>
      </x:c>
      <x:c r="H32" s="56" t="n">
        <x:f>IF(AND(H$8&gt;='작업 관리'!$E32,H$8&lt;='작업 관리'!$F32),IF('작업 관리'!$I32="마일스톤",3,IF('작업 관리'!$G32="완료",2,1)),"")</x:f>
        <x:v>1</x:v>
      </x:c>
      <x:c r="I32" s="55" t="n">
        <x:f>IF(AND(I$8&gt;='작업 관리'!$E32,I$8&lt;='작업 관리'!$F32),IF('작업 관리'!$I32="마일스톤",3,IF('작업 관리'!$G32="완료",2,1)),"")</x:f>
        <x:v>1</x:v>
      </x:c>
      <x:c r="J32" s="55" t="str">
        <x:f>IF(AND(J$8&gt;='작업 관리'!$E32,J$8&lt;='작업 관리'!$F32),IF('작업 관리'!$I32="마일스톤",3,IF('작업 관리'!$G32="완료",2,1)),"")</x:f>
      </x:c>
      <x:c r="K32" s="55" t="str">
        <x:f>IF(AND(K$8&gt;='작업 관리'!$E32,K$8&lt;='작업 관리'!$F32),IF('작업 관리'!$I32="마일스톤",3,IF('작업 관리'!$G32="완료",2,1)),"")</x:f>
      </x:c>
      <x:c r="L32" s="55" t="str">
        <x:f>IF(AND(L$8&gt;='작업 관리'!$E32,L$8&lt;='작업 관리'!$F32),IF('작업 관리'!$I32="마일스톤",3,IF('작업 관리'!$G32="완료",2,1)),"")</x:f>
      </x:c>
      <x:c r="M32" s="55" t="str">
        <x:f>IF(AND(M$8&gt;='작업 관리'!$E32,M$8&lt;='작업 관리'!$F32),IF('작업 관리'!$I32="마일스톤",3,IF('작업 관리'!$G32="완료",2,1)),"")</x:f>
      </x:c>
      <x:c r="N32" s="56" t="str">
        <x:f>IF(AND(N$8&gt;='작업 관리'!$E32,N$8&lt;='작업 관리'!$F32),IF('작업 관리'!$I32="마일스톤",3,IF('작업 관리'!$G32="완료",2,1)),"")</x:f>
      </x:c>
      <x:c r="O32" s="56" t="str">
        <x:f>IF(AND(O$8&gt;='작업 관리'!$E32,O$8&lt;='작업 관리'!$F32),IF('작업 관리'!$I32="마일스톤",3,IF('작업 관리'!$G32="완료",2,1)),"")</x:f>
      </x:c>
      <x:c r="P32" s="55" t="str">
        <x:f>IF(AND(P$8&gt;='작업 관리'!$E32,P$8&lt;='작업 관리'!$F32),IF('작업 관리'!$I32="마일스톤",3,IF('작업 관리'!$G32="완료",2,1)),"")</x:f>
      </x:c>
      <x:c r="Q32" s="55" t="str">
        <x:f>IF(AND(Q$8&gt;='작업 관리'!$E32,Q$8&lt;='작업 관리'!$F32),IF('작업 관리'!$I32="마일스톤",3,IF('작업 관리'!$G32="완료",2,1)),"")</x:f>
      </x:c>
      <x:c r="R32" s="55" t="str">
        <x:f>IF(AND(R$8&gt;='작업 관리'!$E32,R$8&lt;='작업 관리'!$F32),IF('작업 관리'!$I32="마일스톤",3,IF('작업 관리'!$G32="완료",2,1)),"")</x:f>
      </x:c>
      <x:c r="S32" s="55" t="str">
        <x:f>IF(AND(S$8&gt;='작업 관리'!$E32,S$8&lt;='작업 관리'!$F32),IF('작업 관리'!$I32="마일스톤",3,IF('작업 관리'!$G32="완료",2,1)),"")</x:f>
      </x:c>
    </x:row>
    <x:row r="33" ht="48" customHeight="1">
      <x:c r="A33" s="72" t="str">
        <x:f>'작업 관리'!A33</x:f>
        <x:v>3.12</x:v>
      </x:c>
      <x:c r="B33" s="15" t="str">
        <x:f>'작업 관리'!C33</x:f>
        <x:v>겸업 판정·업종 변경 근거 기록</x:v>
      </x:c>
      <x:c r="C33" s="2" t="str">
        <x:f>'작업 관리'!D33</x:f>
        <x:v>서종원</x:v>
      </x:c>
      <x:c r="D33" s="54" t="str">
        <x:f>IF(AND(D$8&gt;='작업 관리'!$E33,D$8&lt;='작업 관리'!$F33),IF('작업 관리'!$I33="마일스톤",3,IF('작업 관리'!$G33="완료",2,1)),"")</x:f>
      </x:c>
      <x:c r="E33" s="54" t="str">
        <x:f>IF(AND(E$8&gt;='작업 관리'!$E33,E$8&lt;='작업 관리'!$F33),IF('작업 관리'!$I33="마일스톤",3,IF('작업 관리'!$G33="완료",2,1)),"")</x:f>
      </x:c>
      <x:c r="F33" s="54" t="str">
        <x:f>IF(AND(F$8&gt;='작업 관리'!$E33,F$8&lt;='작업 관리'!$F33),IF('작업 관리'!$I33="마일스톤",3,IF('작업 관리'!$G33="완료",2,1)),"")</x:f>
      </x:c>
      <x:c r="G33" s="56" t="n">
        <x:f>IF(AND(G$8&gt;='작업 관리'!$E33,G$8&lt;='작업 관리'!$F33),IF('작업 관리'!$I33="마일스톤",3,IF('작업 관리'!$G33="완료",2,1)),"")</x:f>
        <x:v>1</x:v>
      </x:c>
      <x:c r="H33" s="56" t="n">
        <x:f>IF(AND(H$8&gt;='작업 관리'!$E33,H$8&lt;='작업 관리'!$F33),IF('작업 관리'!$I33="마일스톤",3,IF('작업 관리'!$G33="완료",2,1)),"")</x:f>
        <x:v>1</x:v>
      </x:c>
      <x:c r="I33" s="54" t="str">
        <x:f>IF(AND(I$8&gt;='작업 관리'!$E33,I$8&lt;='작업 관리'!$F33),IF('작업 관리'!$I33="마일스톤",3,IF('작업 관리'!$G33="완료",2,1)),"")</x:f>
      </x:c>
      <x:c r="J33" s="54" t="str">
        <x:f>IF(AND(J$8&gt;='작업 관리'!$E33,J$8&lt;='작업 관리'!$F33),IF('작업 관리'!$I33="마일스톤",3,IF('작업 관리'!$G33="완료",2,1)),"")</x:f>
      </x:c>
      <x:c r="K33" s="54" t="str">
        <x:f>IF(AND(K$8&gt;='작업 관리'!$E33,K$8&lt;='작업 관리'!$F33),IF('작업 관리'!$I33="마일스톤",3,IF('작업 관리'!$G33="완료",2,1)),"")</x:f>
      </x:c>
      <x:c r="L33" s="54" t="str">
        <x:f>IF(AND(L$8&gt;='작업 관리'!$E33,L$8&lt;='작업 관리'!$F33),IF('작업 관리'!$I33="마일스톤",3,IF('작업 관리'!$G33="완료",2,1)),"")</x:f>
      </x:c>
      <x:c r="M33" s="54" t="str">
        <x:f>IF(AND(M$8&gt;='작업 관리'!$E33,M$8&lt;='작업 관리'!$F33),IF('작업 관리'!$I33="마일스톤",3,IF('작업 관리'!$G33="완료",2,1)),"")</x:f>
      </x:c>
      <x:c r="N33" s="56" t="str">
        <x:f>IF(AND(N$8&gt;='작업 관리'!$E33,N$8&lt;='작업 관리'!$F33),IF('작업 관리'!$I33="마일스톤",3,IF('작업 관리'!$G33="완료",2,1)),"")</x:f>
      </x:c>
      <x:c r="O33" s="56" t="str">
        <x:f>IF(AND(O$8&gt;='작업 관리'!$E33,O$8&lt;='작업 관리'!$F33),IF('작업 관리'!$I33="마일스톤",3,IF('작업 관리'!$G33="완료",2,1)),"")</x:f>
      </x:c>
      <x:c r="P33" s="54" t="str">
        <x:f>IF(AND(P$8&gt;='작업 관리'!$E33,P$8&lt;='작업 관리'!$F33),IF('작업 관리'!$I33="마일스톤",3,IF('작업 관리'!$G33="완료",2,1)),"")</x:f>
      </x:c>
      <x:c r="Q33" s="54" t="str">
        <x:f>IF(AND(Q$8&gt;='작업 관리'!$E33,Q$8&lt;='작업 관리'!$F33),IF('작업 관리'!$I33="마일스톤",3,IF('작업 관리'!$G33="완료",2,1)),"")</x:f>
      </x:c>
      <x:c r="R33" s="54" t="str">
        <x:f>IF(AND(R$8&gt;='작업 관리'!$E33,R$8&lt;='작업 관리'!$F33),IF('작업 관리'!$I33="마일스톤",3,IF('작업 관리'!$G33="완료",2,1)),"")</x:f>
      </x:c>
      <x:c r="S33" s="54" t="str">
        <x:f>IF(AND(S$8&gt;='작업 관리'!$E33,S$8&lt;='작업 관리'!$F33),IF('작업 관리'!$I33="마일스톤",3,IF('작업 관리'!$G33="완료",2,1)),"")</x:f>
      </x:c>
    </x:row>
    <x:row r="34" ht="48" customHeight="1">
      <x:c r="A34" s="83" t="str">
        <x:f>'작업 관리'!A34</x:f>
        <x:v>3.3</x:v>
      </x:c>
      <x:c r="B34" s="16" t="str">
        <x:f>'작업 관리'!C34</x:f>
        <x:v>핵심 재무 대시보드와 차트</x:v>
      </x:c>
      <x:c r="C34" s="14" t="str">
        <x:f>'작업 관리'!D34</x:f>
        <x:v>서종원</x:v>
      </x:c>
      <x:c r="D34" s="55" t="str">
        <x:f>IF(AND(D$8&gt;='작업 관리'!$E34,D$8&lt;='작업 관리'!$F34),IF('작업 관리'!$I34="마일스톤",3,IF('작업 관리'!$G34="완료",2,1)),"")</x:f>
      </x:c>
      <x:c r="E34" s="55" t="str">
        <x:f>IF(AND(E$8&gt;='작업 관리'!$E34,E$8&lt;='작업 관리'!$F34),IF('작업 관리'!$I34="마일스톤",3,IF('작업 관리'!$G34="완료",2,1)),"")</x:f>
      </x:c>
      <x:c r="F34" s="55" t="str">
        <x:f>IF(AND(F$8&gt;='작업 관리'!$E34,F$8&lt;='작업 관리'!$F34),IF('작업 관리'!$I34="마일스톤",3,IF('작업 관리'!$G34="완료",2,1)),"")</x:f>
      </x:c>
      <x:c r="G34" s="56" t="str">
        <x:f>IF(AND(G$8&gt;='작업 관리'!$E34,G$8&lt;='작업 관리'!$F34),IF('작업 관리'!$I34="마일스톤",3,IF('작업 관리'!$G34="완료",2,1)),"")</x:f>
      </x:c>
      <x:c r="H34" s="56" t="n">
        <x:f>IF(AND(H$8&gt;='작업 관리'!$E34,H$8&lt;='작업 관리'!$F34),IF('작업 관리'!$I34="마일스톤",3,IF('작업 관리'!$G34="완료",2,1)),"")</x:f>
        <x:v>1</x:v>
      </x:c>
      <x:c r="I34" s="55" t="n">
        <x:f>IF(AND(I$8&gt;='작업 관리'!$E34,I$8&lt;='작업 관리'!$F34),IF('작업 관리'!$I34="마일스톤",3,IF('작업 관리'!$G34="완료",2,1)),"")</x:f>
        <x:v>1</x:v>
      </x:c>
      <x:c r="J34" s="55" t="str">
        <x:f>IF(AND(J$8&gt;='작업 관리'!$E34,J$8&lt;='작업 관리'!$F34),IF('작업 관리'!$I34="마일스톤",3,IF('작업 관리'!$G34="완료",2,1)),"")</x:f>
      </x:c>
      <x:c r="K34" s="55" t="str">
        <x:f>IF(AND(K$8&gt;='작업 관리'!$E34,K$8&lt;='작업 관리'!$F34),IF('작업 관리'!$I34="마일스톤",3,IF('작업 관리'!$G34="완료",2,1)),"")</x:f>
      </x:c>
      <x:c r="L34" s="55" t="str">
        <x:f>IF(AND(L$8&gt;='작업 관리'!$E34,L$8&lt;='작업 관리'!$F34),IF('작업 관리'!$I34="마일스톤",3,IF('작업 관리'!$G34="완료",2,1)),"")</x:f>
      </x:c>
      <x:c r="M34" s="55" t="str">
        <x:f>IF(AND(M$8&gt;='작업 관리'!$E34,M$8&lt;='작업 관리'!$F34),IF('작업 관리'!$I34="마일스톤",3,IF('작업 관리'!$G34="완료",2,1)),"")</x:f>
      </x:c>
      <x:c r="N34" s="56" t="str">
        <x:f>IF(AND(N$8&gt;='작업 관리'!$E34,N$8&lt;='작업 관리'!$F34),IF('작업 관리'!$I34="마일스톤",3,IF('작업 관리'!$G34="완료",2,1)),"")</x:f>
      </x:c>
      <x:c r="O34" s="56" t="str">
        <x:f>IF(AND(O$8&gt;='작업 관리'!$E34,O$8&lt;='작업 관리'!$F34),IF('작업 관리'!$I34="마일스톤",3,IF('작업 관리'!$G34="완료",2,1)),"")</x:f>
      </x:c>
      <x:c r="P34" s="55" t="str">
        <x:f>IF(AND(P$8&gt;='작업 관리'!$E34,P$8&lt;='작업 관리'!$F34),IF('작업 관리'!$I34="마일스톤",3,IF('작업 관리'!$G34="완료",2,1)),"")</x:f>
      </x:c>
      <x:c r="Q34" s="55" t="str">
        <x:f>IF(AND(Q$8&gt;='작업 관리'!$E34,Q$8&lt;='작업 관리'!$F34),IF('작업 관리'!$I34="마일스톤",3,IF('작업 관리'!$G34="완료",2,1)),"")</x:f>
      </x:c>
      <x:c r="R34" s="55" t="str">
        <x:f>IF(AND(R$8&gt;='작업 관리'!$E34,R$8&lt;='작업 관리'!$F34),IF('작업 관리'!$I34="마일스톤",3,IF('작업 관리'!$G34="완료",2,1)),"")</x:f>
      </x:c>
      <x:c r="S34" s="55" t="str">
        <x:f>IF(AND(S$8&gt;='작업 관리'!$E34,S$8&lt;='작업 관리'!$F34),IF('작업 관리'!$I34="마일스톤",3,IF('작업 관리'!$G34="완료",2,1)),"")</x:f>
      </x:c>
    </x:row>
    <x:row r="35" ht="48" customHeight="1">
      <x:c r="A35" s="72" t="str">
        <x:f>'작업 관리'!A35</x:f>
        <x:v>3.8</x:v>
      </x:c>
      <x:c r="B35" s="15" t="str">
        <x:f>'작업 관리'!C35</x:f>
        <x:v>차입 상환능력·영업순환 지표 계산</x:v>
      </x:c>
      <x:c r="C35" s="2" t="str">
        <x:f>'작업 관리'!D35</x:f>
        <x:v>김동민</x:v>
      </x:c>
      <x:c r="D35" s="54" t="str">
        <x:f>IF(AND(D$8&gt;='작업 관리'!$E35,D$8&lt;='작업 관리'!$F35),IF('작업 관리'!$I35="마일스톤",3,IF('작업 관리'!$G35="완료",2,1)),"")</x:f>
      </x:c>
      <x:c r="E35" s="54" t="str">
        <x:f>IF(AND(E$8&gt;='작업 관리'!$E35,E$8&lt;='작업 관리'!$F35),IF('작업 관리'!$I35="마일스톤",3,IF('작업 관리'!$G35="완료",2,1)),"")</x:f>
      </x:c>
      <x:c r="F35" s="54" t="str">
        <x:f>IF(AND(F$8&gt;='작업 관리'!$E35,F$8&lt;='작업 관리'!$F35),IF('작업 관리'!$I35="마일스톤",3,IF('작업 관리'!$G35="완료",2,1)),"")</x:f>
      </x:c>
      <x:c r="G35" s="56" t="str">
        <x:f>IF(AND(G$8&gt;='작업 관리'!$E35,G$8&lt;='작업 관리'!$F35),IF('작업 관리'!$I35="마일스톤",3,IF('작업 관리'!$G35="완료",2,1)),"")</x:f>
      </x:c>
      <x:c r="H35" s="56" t="str">
        <x:f>IF(AND(H$8&gt;='작업 관리'!$E35,H$8&lt;='작업 관리'!$F35),IF('작업 관리'!$I35="마일스톤",3,IF('작업 관리'!$G35="완료",2,1)),"")</x:f>
      </x:c>
      <x:c r="I35" s="54" t="n">
        <x:f>IF(AND(I$8&gt;='작업 관리'!$E35,I$8&lt;='작업 관리'!$F35),IF('작업 관리'!$I35="마일스톤",3,IF('작업 관리'!$G35="완료",2,1)),"")</x:f>
        <x:v>1</x:v>
      </x:c>
      <x:c r="J35" s="54" t="str">
        <x:f>IF(AND(J$8&gt;='작업 관리'!$E35,J$8&lt;='작업 관리'!$F35),IF('작업 관리'!$I35="마일스톤",3,IF('작업 관리'!$G35="완료",2,1)),"")</x:f>
      </x:c>
      <x:c r="K35" s="54" t="str">
        <x:f>IF(AND(K$8&gt;='작업 관리'!$E35,K$8&lt;='작업 관리'!$F35),IF('작업 관리'!$I35="마일스톤",3,IF('작업 관리'!$G35="완료",2,1)),"")</x:f>
      </x:c>
      <x:c r="L35" s="54" t="str">
        <x:f>IF(AND(L$8&gt;='작업 관리'!$E35,L$8&lt;='작업 관리'!$F35),IF('작업 관리'!$I35="마일스톤",3,IF('작업 관리'!$G35="완료",2,1)),"")</x:f>
      </x:c>
      <x:c r="M35" s="54" t="str">
        <x:f>IF(AND(M$8&gt;='작업 관리'!$E35,M$8&lt;='작업 관리'!$F35),IF('작업 관리'!$I35="마일스톤",3,IF('작업 관리'!$G35="완료",2,1)),"")</x:f>
      </x:c>
      <x:c r="N35" s="56" t="str">
        <x:f>IF(AND(N$8&gt;='작업 관리'!$E35,N$8&lt;='작업 관리'!$F35),IF('작업 관리'!$I35="마일스톤",3,IF('작업 관리'!$G35="완료",2,1)),"")</x:f>
      </x:c>
      <x:c r="O35" s="56" t="str">
        <x:f>IF(AND(O$8&gt;='작업 관리'!$E35,O$8&lt;='작업 관리'!$F35),IF('작업 관리'!$I35="마일스톤",3,IF('작업 관리'!$G35="완료",2,1)),"")</x:f>
      </x:c>
      <x:c r="P35" s="54" t="str">
        <x:f>IF(AND(P$8&gt;='작업 관리'!$E35,P$8&lt;='작업 관리'!$F35),IF('작업 관리'!$I35="마일스톤",3,IF('작업 관리'!$G35="완료",2,1)),"")</x:f>
      </x:c>
      <x:c r="Q35" s="54" t="str">
        <x:f>IF(AND(Q$8&gt;='작업 관리'!$E35,Q$8&lt;='작업 관리'!$F35),IF('작업 관리'!$I35="마일스톤",3,IF('작업 관리'!$G35="완료",2,1)),"")</x:f>
      </x:c>
      <x:c r="R35" s="54" t="str">
        <x:f>IF(AND(R$8&gt;='작업 관리'!$E35,R$8&lt;='작업 관리'!$F35),IF('작업 관리'!$I35="마일스톤",3,IF('작업 관리'!$G35="완료",2,1)),"")</x:f>
      </x:c>
      <x:c r="S35" s="54" t="str">
        <x:f>IF(AND(S$8&gt;='작업 관리'!$E35,S$8&lt;='작업 관리'!$F35),IF('작업 관리'!$I35="마일스톤",3,IF('작업 관리'!$G35="완료",2,1)),"")</x:f>
      </x:c>
    </x:row>
    <x:row r="36" ht="48" customHeight="1">
      <x:c r="A36" s="83" t="str">
        <x:f>'작업 관리'!A36</x:f>
        <x:v>3.4</x:v>
      </x:c>
      <x:c r="B36" s="16" t="str">
        <x:f>'작업 관리'!C36</x:f>
        <x:v>확인 체크와 재무 검토 기록 초안</x:v>
      </x:c>
      <x:c r="C36" s="14" t="str">
        <x:f>'작업 관리'!D36</x:f>
        <x:v>서종원</x:v>
      </x:c>
      <x:c r="D36" s="55" t="str">
        <x:f>IF(AND(D$8&gt;='작업 관리'!$E36,D$8&lt;='작업 관리'!$F36),IF('작업 관리'!$I36="마일스톤",3,IF('작업 관리'!$G36="완료",2,1)),"")</x:f>
      </x:c>
      <x:c r="E36" s="55" t="str">
        <x:f>IF(AND(E$8&gt;='작업 관리'!$E36,E$8&lt;='작업 관리'!$F36),IF('작업 관리'!$I36="마일스톤",3,IF('작업 관리'!$G36="완료",2,1)),"")</x:f>
      </x:c>
      <x:c r="F36" s="55" t="str">
        <x:f>IF(AND(F$8&gt;='작업 관리'!$E36,F$8&lt;='작업 관리'!$F36),IF('작업 관리'!$I36="마일스톤",3,IF('작업 관리'!$G36="완료",2,1)),"")</x:f>
      </x:c>
      <x:c r="G36" s="56" t="str">
        <x:f>IF(AND(G$8&gt;='작업 관리'!$E36,G$8&lt;='작업 관리'!$F36),IF('작업 관리'!$I36="마일스톤",3,IF('작업 관리'!$G36="완료",2,1)),"")</x:f>
      </x:c>
      <x:c r="H36" s="56" t="str">
        <x:f>IF(AND(H$8&gt;='작업 관리'!$E36,H$8&lt;='작업 관리'!$F36),IF('작업 관리'!$I36="마일스톤",3,IF('작업 관리'!$G36="완료",2,1)),"")</x:f>
      </x:c>
      <x:c r="I36" s="55" t="str">
        <x:f>IF(AND(I$8&gt;='작업 관리'!$E36,I$8&lt;='작업 관리'!$F36),IF('작업 관리'!$I36="마일스톤",3,IF('작업 관리'!$G36="완료",2,1)),"")</x:f>
      </x:c>
      <x:c r="J36" s="55" t="n">
        <x:f>IF(AND(J$8&gt;='작업 관리'!$E36,J$8&lt;='작업 관리'!$F36),IF('작업 관리'!$I36="마일스톤",3,IF('작업 관리'!$G36="완료",2,1)),"")</x:f>
        <x:v>1</x:v>
      </x:c>
      <x:c r="K36" s="55" t="n">
        <x:f>IF(AND(K$8&gt;='작업 관리'!$E36,K$8&lt;='작업 관리'!$F36),IF('작업 관리'!$I36="마일스톤",3,IF('작업 관리'!$G36="완료",2,1)),"")</x:f>
        <x:v>1</x:v>
      </x:c>
      <x:c r="L36" s="55" t="str">
        <x:f>IF(AND(L$8&gt;='작업 관리'!$E36,L$8&lt;='작업 관리'!$F36),IF('작업 관리'!$I36="마일스톤",3,IF('작업 관리'!$G36="완료",2,1)),"")</x:f>
      </x:c>
      <x:c r="M36" s="55" t="str">
        <x:f>IF(AND(M$8&gt;='작업 관리'!$E36,M$8&lt;='작업 관리'!$F36),IF('작업 관리'!$I36="마일스톤",3,IF('작업 관리'!$G36="완료",2,1)),"")</x:f>
      </x:c>
      <x:c r="N36" s="56" t="str">
        <x:f>IF(AND(N$8&gt;='작업 관리'!$E36,N$8&lt;='작업 관리'!$F36),IF('작업 관리'!$I36="마일스톤",3,IF('작업 관리'!$G36="완료",2,1)),"")</x:f>
      </x:c>
      <x:c r="O36" s="56" t="str">
        <x:f>IF(AND(O$8&gt;='작업 관리'!$E36,O$8&lt;='작업 관리'!$F36),IF('작업 관리'!$I36="마일스톤",3,IF('작업 관리'!$G36="완료",2,1)),"")</x:f>
      </x:c>
      <x:c r="P36" s="55" t="str">
        <x:f>IF(AND(P$8&gt;='작업 관리'!$E36,P$8&lt;='작업 관리'!$F36),IF('작업 관리'!$I36="마일스톤",3,IF('작업 관리'!$G36="완료",2,1)),"")</x:f>
      </x:c>
      <x:c r="Q36" s="55" t="str">
        <x:f>IF(AND(Q$8&gt;='작업 관리'!$E36,Q$8&lt;='작업 관리'!$F36),IF('작업 관리'!$I36="마일스톤",3,IF('작업 관리'!$G36="완료",2,1)),"")</x:f>
      </x:c>
      <x:c r="R36" s="55" t="str">
        <x:f>IF(AND(R$8&gt;='작업 관리'!$E36,R$8&lt;='작업 관리'!$F36),IF('작업 관리'!$I36="마일스톤",3,IF('작업 관리'!$G36="완료",2,1)),"")</x:f>
      </x:c>
      <x:c r="S36" s="55" t="str">
        <x:f>IF(AND(S$8&gt;='작업 관리'!$E36,S$8&lt;='작업 관리'!$F36),IF('작업 관리'!$I36="마일스톤",3,IF('작업 관리'!$G36="완료",2,1)),"")</x:f>
      </x:c>
    </x:row>
    <x:row r="37" ht="48" customHeight="1">
      <x:c r="A37" s="72" t="str">
        <x:f>'작업 관리'!A37</x:f>
        <x:v>3.6</x:v>
      </x:c>
      <x:c r="B37" s="15" t="str">
        <x:f>'작업 관리'!C37</x:f>
        <x:v>업종별 확인 기준 검토</x:v>
      </x:c>
      <x:c r="C37" s="2" t="str">
        <x:f>'작업 관리'!D37</x:f>
        <x:v>오준탁</x:v>
      </x:c>
      <x:c r="D37" s="54" t="str">
        <x:f>IF(AND(D$8&gt;='작업 관리'!$E37,D$8&lt;='작업 관리'!$F37),IF('작업 관리'!$I37="마일스톤",3,IF('작업 관리'!$G37="완료",2,1)),"")</x:f>
      </x:c>
      <x:c r="E37" s="54" t="str">
        <x:f>IF(AND(E$8&gt;='작업 관리'!$E37,E$8&lt;='작업 관리'!$F37),IF('작업 관리'!$I37="마일스톤",3,IF('작업 관리'!$G37="완료",2,1)),"")</x:f>
      </x:c>
      <x:c r="F37" s="54" t="str">
        <x:f>IF(AND(F$8&gt;='작업 관리'!$E37,F$8&lt;='작업 관리'!$F37),IF('작업 관리'!$I37="마일스톤",3,IF('작업 관리'!$G37="완료",2,1)),"")</x:f>
      </x:c>
      <x:c r="G37" s="56" t="str">
        <x:f>IF(AND(G$8&gt;='작업 관리'!$E37,G$8&lt;='작업 관리'!$F37),IF('작업 관리'!$I37="마일스톤",3,IF('작업 관리'!$G37="완료",2,1)),"")</x:f>
      </x:c>
      <x:c r="H37" s="56" t="str">
        <x:f>IF(AND(H$8&gt;='작업 관리'!$E37,H$8&lt;='작업 관리'!$F37),IF('작업 관리'!$I37="마일스톤",3,IF('작업 관리'!$G37="완료",2,1)),"")</x:f>
      </x:c>
      <x:c r="I37" s="54" t="str">
        <x:f>IF(AND(I$8&gt;='작업 관리'!$E37,I$8&lt;='작업 관리'!$F37),IF('작업 관리'!$I37="마일스톤",3,IF('작업 관리'!$G37="완료",2,1)),"")</x:f>
      </x:c>
      <x:c r="J37" s="54" t="n">
        <x:f>IF(AND(J$8&gt;='작업 관리'!$E37,J$8&lt;='작업 관리'!$F37),IF('작업 관리'!$I37="마일스톤",3,IF('작업 관리'!$G37="완료",2,1)),"")</x:f>
        <x:v>1</x:v>
      </x:c>
      <x:c r="K37" s="54" t="n">
        <x:f>IF(AND(K$8&gt;='작업 관리'!$E37,K$8&lt;='작업 관리'!$F37),IF('작업 관리'!$I37="마일스톤",3,IF('작업 관리'!$G37="완료",2,1)),"")</x:f>
        <x:v>1</x:v>
      </x:c>
      <x:c r="L37" s="54" t="str">
        <x:f>IF(AND(L$8&gt;='작업 관리'!$E37,L$8&lt;='작업 관리'!$F37),IF('작업 관리'!$I37="마일스톤",3,IF('작업 관리'!$G37="완료",2,1)),"")</x:f>
      </x:c>
      <x:c r="M37" s="54" t="str">
        <x:f>IF(AND(M$8&gt;='작업 관리'!$E37,M$8&lt;='작업 관리'!$F37),IF('작업 관리'!$I37="마일스톤",3,IF('작업 관리'!$G37="완료",2,1)),"")</x:f>
      </x:c>
      <x:c r="N37" s="56" t="str">
        <x:f>IF(AND(N$8&gt;='작업 관리'!$E37,N$8&lt;='작업 관리'!$F37),IF('작업 관리'!$I37="마일스톤",3,IF('작업 관리'!$G37="완료",2,1)),"")</x:f>
      </x:c>
      <x:c r="O37" s="56" t="str">
        <x:f>IF(AND(O$8&gt;='작업 관리'!$E37,O$8&lt;='작업 관리'!$F37),IF('작업 관리'!$I37="마일스톤",3,IF('작업 관리'!$G37="완료",2,1)),"")</x:f>
      </x:c>
      <x:c r="P37" s="54" t="str">
        <x:f>IF(AND(P$8&gt;='작업 관리'!$E37,P$8&lt;='작업 관리'!$F37),IF('작업 관리'!$I37="마일스톤",3,IF('작업 관리'!$G37="완료",2,1)),"")</x:f>
      </x:c>
      <x:c r="Q37" s="54" t="str">
        <x:f>IF(AND(Q$8&gt;='작업 관리'!$E37,Q$8&lt;='작업 관리'!$F37),IF('작업 관리'!$I37="마일스톤",3,IF('작업 관리'!$G37="완료",2,1)),"")</x:f>
      </x:c>
      <x:c r="R37" s="54" t="str">
        <x:f>IF(AND(R$8&gt;='작업 관리'!$E37,R$8&lt;='작업 관리'!$F37),IF('작업 관리'!$I37="마일스톤",3,IF('작업 관리'!$G37="완료",2,1)),"")</x:f>
      </x:c>
      <x:c r="S37" s="54" t="str">
        <x:f>IF(AND(S$8&gt;='작업 관리'!$E37,S$8&lt;='작업 관리'!$F37),IF('작업 관리'!$I37="마일스톤",3,IF('작업 관리'!$G37="완료",2,1)),"")</x:f>
      </x:c>
    </x:row>
    <x:row r="38" ht="48" customHeight="1">
      <x:c r="A38" s="83" t="str">
        <x:f>'작업 관리'!A38</x:f>
        <x:v>3.9</x:v>
      </x:c>
      <x:c r="B38" s="16" t="str">
        <x:f>'작업 관리'!C38</x:f>
        <x:v>업종 위험 지표·징후 단계 판정 연결</x:v>
      </x:c>
      <x:c r="C38" s="14" t="str">
        <x:f>'작업 관리'!D38</x:f>
        <x:v>김동민</x:v>
      </x:c>
      <x:c r="D38" s="55" t="str">
        <x:f>IF(AND(D$8&gt;='작업 관리'!$E38,D$8&lt;='작업 관리'!$F38),IF('작업 관리'!$I38="마일스톤",3,IF('작업 관리'!$G38="완료",2,1)),"")</x:f>
      </x:c>
      <x:c r="E38" s="55" t="str">
        <x:f>IF(AND(E$8&gt;='작업 관리'!$E38,E$8&lt;='작업 관리'!$F38),IF('작업 관리'!$I38="마일스톤",3,IF('작업 관리'!$G38="완료",2,1)),"")</x:f>
      </x:c>
      <x:c r="F38" s="55" t="str">
        <x:f>IF(AND(F$8&gt;='작업 관리'!$E38,F$8&lt;='작업 관리'!$F38),IF('작업 관리'!$I38="마일스톤",3,IF('작업 관리'!$G38="완료",2,1)),"")</x:f>
      </x:c>
      <x:c r="G38" s="56" t="str">
        <x:f>IF(AND(G$8&gt;='작업 관리'!$E38,G$8&lt;='작업 관리'!$F38),IF('작업 관리'!$I38="마일스톤",3,IF('작업 관리'!$G38="완료",2,1)),"")</x:f>
      </x:c>
      <x:c r="H38" s="56" t="str">
        <x:f>IF(AND(H$8&gt;='작업 관리'!$E38,H$8&lt;='작업 관리'!$F38),IF('작업 관리'!$I38="마일스톤",3,IF('작업 관리'!$G38="완료",2,1)),"")</x:f>
      </x:c>
      <x:c r="I38" s="55" t="str">
        <x:f>IF(AND(I$8&gt;='작업 관리'!$E38,I$8&lt;='작업 관리'!$F38),IF('작업 관리'!$I38="마일스톤",3,IF('작업 관리'!$G38="완료",2,1)),"")</x:f>
      </x:c>
      <x:c r="J38" s="55" t="n">
        <x:f>IF(AND(J$8&gt;='작업 관리'!$E38,J$8&lt;='작업 관리'!$F38),IF('작업 관리'!$I38="마일스톤",3,IF('작업 관리'!$G38="완료",2,1)),"")</x:f>
        <x:v>1</x:v>
      </x:c>
      <x:c r="K38" s="55" t="n">
        <x:f>IF(AND(K$8&gt;='작업 관리'!$E38,K$8&lt;='작업 관리'!$F38),IF('작업 관리'!$I38="마일스톤",3,IF('작업 관리'!$G38="완료",2,1)),"")</x:f>
        <x:v>1</x:v>
      </x:c>
      <x:c r="L38" s="55" t="str">
        <x:f>IF(AND(L$8&gt;='작업 관리'!$E38,L$8&lt;='작업 관리'!$F38),IF('작업 관리'!$I38="마일스톤",3,IF('작업 관리'!$G38="완료",2,1)),"")</x:f>
      </x:c>
      <x:c r="M38" s="55" t="str">
        <x:f>IF(AND(M$8&gt;='작업 관리'!$E38,M$8&lt;='작업 관리'!$F38),IF('작업 관리'!$I38="마일스톤",3,IF('작업 관리'!$G38="완료",2,1)),"")</x:f>
      </x:c>
      <x:c r="N38" s="56" t="str">
        <x:f>IF(AND(N$8&gt;='작업 관리'!$E38,N$8&lt;='작업 관리'!$F38),IF('작업 관리'!$I38="마일스톤",3,IF('작업 관리'!$G38="완료",2,1)),"")</x:f>
      </x:c>
      <x:c r="O38" s="56" t="str">
        <x:f>IF(AND(O$8&gt;='작업 관리'!$E38,O$8&lt;='작업 관리'!$F38),IF('작업 관리'!$I38="마일스톤",3,IF('작업 관리'!$G38="완료",2,1)),"")</x:f>
      </x:c>
      <x:c r="P38" s="55" t="str">
        <x:f>IF(AND(P$8&gt;='작업 관리'!$E38,P$8&lt;='작업 관리'!$F38),IF('작업 관리'!$I38="마일스톤",3,IF('작업 관리'!$G38="완료",2,1)),"")</x:f>
      </x:c>
      <x:c r="Q38" s="55" t="str">
        <x:f>IF(AND(Q$8&gt;='작업 관리'!$E38,Q$8&lt;='작업 관리'!$F38),IF('작업 관리'!$I38="마일스톤",3,IF('작업 관리'!$G38="완료",2,1)),"")</x:f>
      </x:c>
      <x:c r="R38" s="55" t="str">
        <x:f>IF(AND(R$8&gt;='작업 관리'!$E38,R$8&lt;='작업 관리'!$F38),IF('작업 관리'!$I38="마일스톤",3,IF('작업 관리'!$G38="완료",2,1)),"")</x:f>
      </x:c>
      <x:c r="S38" s="55" t="str">
        <x:f>IF(AND(S$8&gt;='작업 관리'!$E38,S$8&lt;='작업 관리'!$F38),IF('작업 관리'!$I38="마일스톤",3,IF('작업 관리'!$G38="완료",2,1)),"")</x:f>
      </x:c>
    </x:row>
    <x:row r="39" ht="48" customHeight="1">
      <x:c r="A39" s="72" t="str">
        <x:f>'작업 관리'!A39</x:f>
        <x:v>3.11</x:v>
      </x:c>
      <x:c r="B39" s="15" t="str">
        <x:f>'작업 관리'!C39</x:f>
        <x:v>직접 입력·출처·재계산 경로 검증</x:v>
      </x:c>
      <x:c r="C39" s="2" t="str">
        <x:f>'작업 관리'!D39</x:f>
        <x:v>서종원</x:v>
      </x:c>
      <x:c r="D39" s="54" t="str">
        <x:f>IF(AND(D$8&gt;='작업 관리'!$E39,D$8&lt;='작업 관리'!$F39),IF('작업 관리'!$I39="마일스톤",3,IF('작업 관리'!$G39="완료",2,1)),"")</x:f>
      </x:c>
      <x:c r="E39" s="54" t="str">
        <x:f>IF(AND(E$8&gt;='작업 관리'!$E39,E$8&lt;='작업 관리'!$F39),IF('작업 관리'!$I39="마일스톤",3,IF('작업 관리'!$G39="완료",2,1)),"")</x:f>
      </x:c>
      <x:c r="F39" s="54" t="str">
        <x:f>IF(AND(F$8&gt;='작업 관리'!$E39,F$8&lt;='작업 관리'!$F39),IF('작업 관리'!$I39="마일스톤",3,IF('작업 관리'!$G39="완료",2,1)),"")</x:f>
      </x:c>
      <x:c r="G39" s="56" t="str">
        <x:f>IF(AND(G$8&gt;='작업 관리'!$E39,G$8&lt;='작업 관리'!$F39),IF('작업 관리'!$I39="마일스톤",3,IF('작업 관리'!$G39="완료",2,1)),"")</x:f>
      </x:c>
      <x:c r="H39" s="56" t="str">
        <x:f>IF(AND(H$8&gt;='작업 관리'!$E39,H$8&lt;='작업 관리'!$F39),IF('작업 관리'!$I39="마일스톤",3,IF('작업 관리'!$G39="완료",2,1)),"")</x:f>
      </x:c>
      <x:c r="I39" s="54" t="str">
        <x:f>IF(AND(I$8&gt;='작업 관리'!$E39,I$8&lt;='작업 관리'!$F39),IF('작업 관리'!$I39="마일스톤",3,IF('작업 관리'!$G39="완료",2,1)),"")</x:f>
      </x:c>
      <x:c r="J39" s="54" t="n">
        <x:f>IF(AND(J$8&gt;='작업 관리'!$E39,J$8&lt;='작업 관리'!$F39),IF('작업 관리'!$I39="마일스톤",3,IF('작업 관리'!$G39="완료",2,1)),"")</x:f>
        <x:v>1</x:v>
      </x:c>
      <x:c r="K39" s="54" t="n">
        <x:f>IF(AND(K$8&gt;='작업 관리'!$E39,K$8&lt;='작업 관리'!$F39),IF('작업 관리'!$I39="마일스톤",3,IF('작업 관리'!$G39="완료",2,1)),"")</x:f>
        <x:v>1</x:v>
      </x:c>
      <x:c r="L39" s="54" t="str">
        <x:f>IF(AND(L$8&gt;='작업 관리'!$E39,L$8&lt;='작업 관리'!$F39),IF('작업 관리'!$I39="마일스톤",3,IF('작업 관리'!$G39="완료",2,1)),"")</x:f>
      </x:c>
      <x:c r="M39" s="54" t="str">
        <x:f>IF(AND(M$8&gt;='작업 관리'!$E39,M$8&lt;='작업 관리'!$F39),IF('작업 관리'!$I39="마일스톤",3,IF('작업 관리'!$G39="완료",2,1)),"")</x:f>
      </x:c>
      <x:c r="N39" s="56" t="str">
        <x:f>IF(AND(N$8&gt;='작업 관리'!$E39,N$8&lt;='작업 관리'!$F39),IF('작업 관리'!$I39="마일스톤",3,IF('작업 관리'!$G39="완료",2,1)),"")</x:f>
      </x:c>
      <x:c r="O39" s="56" t="str">
        <x:f>IF(AND(O$8&gt;='작업 관리'!$E39,O$8&lt;='작업 관리'!$F39),IF('작업 관리'!$I39="마일스톤",3,IF('작업 관리'!$G39="완료",2,1)),"")</x:f>
      </x:c>
      <x:c r="P39" s="54" t="str">
        <x:f>IF(AND(P$8&gt;='작업 관리'!$E39,P$8&lt;='작업 관리'!$F39),IF('작업 관리'!$I39="마일스톤",3,IF('작업 관리'!$G39="완료",2,1)),"")</x:f>
      </x:c>
      <x:c r="Q39" s="54" t="str">
        <x:f>IF(AND(Q$8&gt;='작업 관리'!$E39,Q$8&lt;='작업 관리'!$F39),IF('작업 관리'!$I39="마일스톤",3,IF('작업 관리'!$G39="완료",2,1)),"")</x:f>
      </x:c>
      <x:c r="R39" s="54" t="str">
        <x:f>IF(AND(R$8&gt;='작업 관리'!$E39,R$8&lt;='작업 관리'!$F39),IF('작업 관리'!$I39="마일스톤",3,IF('작업 관리'!$G39="완료",2,1)),"")</x:f>
      </x:c>
      <x:c r="S39" s="54" t="str">
        <x:f>IF(AND(S$8&gt;='작업 관리'!$E39,S$8&lt;='작업 관리'!$F39),IF('작업 관리'!$I39="마일스톤",3,IF('작업 관리'!$G39="완료",2,1)),"")</x:f>
      </x:c>
    </x:row>
    <x:row r="40" ht="48" customHeight="1">
      <x:c r="A40" s="83" t="str">
        <x:f>'작업 관리'!A40</x:f>
        <x:v>3.10</x:v>
      </x:c>
      <x:c r="B40" s="16" t="str">
        <x:f>'작업 관리'!C40</x:f>
        <x:v>기존 주석 화면에 업종 위험 패널·차트 연결</x:v>
      </x:c>
      <x:c r="C40" s="14" t="str">
        <x:f>'작업 관리'!D40</x:f>
        <x:v>서종원</x:v>
      </x:c>
      <x:c r="D40" s="55" t="str">
        <x:f>IF(AND(D$8&gt;='작업 관리'!$E40,D$8&lt;='작업 관리'!$F40),IF('작업 관리'!$I40="마일스톤",3,IF('작업 관리'!$G40="완료",2,1)),"")</x:f>
      </x:c>
      <x:c r="E40" s="55" t="str">
        <x:f>IF(AND(E$8&gt;='작업 관리'!$E40,E$8&lt;='작업 관리'!$F40),IF('작업 관리'!$I40="마일스톤",3,IF('작업 관리'!$G40="완료",2,1)),"")</x:f>
      </x:c>
      <x:c r="F40" s="55" t="str">
        <x:f>IF(AND(F$8&gt;='작업 관리'!$E40,F$8&lt;='작업 관리'!$F40),IF('작업 관리'!$I40="마일스톤",3,IF('작업 관리'!$G40="완료",2,1)),"")</x:f>
      </x:c>
      <x:c r="G40" s="56" t="str">
        <x:f>IF(AND(G$8&gt;='작업 관리'!$E40,G$8&lt;='작업 관리'!$F40),IF('작업 관리'!$I40="마일스톤",3,IF('작업 관리'!$G40="완료",2,1)),"")</x:f>
      </x:c>
      <x:c r="H40" s="56" t="str">
        <x:f>IF(AND(H$8&gt;='작업 관리'!$E40,H$8&lt;='작업 관리'!$F40),IF('작업 관리'!$I40="마일스톤",3,IF('작업 관리'!$G40="완료",2,1)),"")</x:f>
      </x:c>
      <x:c r="I40" s="55" t="str">
        <x:f>IF(AND(I$8&gt;='작업 관리'!$E40,I$8&lt;='작업 관리'!$F40),IF('작업 관리'!$I40="마일스톤",3,IF('작업 관리'!$G40="완료",2,1)),"")</x:f>
      </x:c>
      <x:c r="J40" s="55" t="str">
        <x:f>IF(AND(J$8&gt;='작업 관리'!$E40,J$8&lt;='작업 관리'!$F40),IF('작업 관리'!$I40="마일스톤",3,IF('작업 관리'!$G40="완료",2,1)),"")</x:f>
      </x:c>
      <x:c r="K40" s="55" t="n">
        <x:f>IF(AND(K$8&gt;='작업 관리'!$E40,K$8&lt;='작업 관리'!$F40),IF('작업 관리'!$I40="마일스톤",3,IF('작업 관리'!$G40="완료",2,1)),"")</x:f>
        <x:v>1</x:v>
      </x:c>
      <x:c r="L40" s="55" t="n">
        <x:f>IF(AND(L$8&gt;='작업 관리'!$E40,L$8&lt;='작업 관리'!$F40),IF('작업 관리'!$I40="마일스톤",3,IF('작업 관리'!$G40="완료",2,1)),"")</x:f>
        <x:v>1</x:v>
      </x:c>
      <x:c r="M40" s="55" t="n">
        <x:f>IF(AND(M$8&gt;='작업 관리'!$E40,M$8&lt;='작업 관리'!$F40),IF('작업 관리'!$I40="마일스톤",3,IF('작업 관리'!$G40="완료",2,1)),"")</x:f>
        <x:v>1</x:v>
      </x:c>
      <x:c r="N40" s="56" t="str">
        <x:f>IF(AND(N$8&gt;='작업 관리'!$E40,N$8&lt;='작업 관리'!$F40),IF('작업 관리'!$I40="마일스톤",3,IF('작업 관리'!$G40="완료",2,1)),"")</x:f>
      </x:c>
      <x:c r="O40" s="56" t="str">
        <x:f>IF(AND(O$8&gt;='작업 관리'!$E40,O$8&lt;='작업 관리'!$F40),IF('작업 관리'!$I40="마일스톤",3,IF('작업 관리'!$G40="완료",2,1)),"")</x:f>
      </x:c>
      <x:c r="P40" s="55" t="str">
        <x:f>IF(AND(P$8&gt;='작업 관리'!$E40,P$8&lt;='작업 관리'!$F40),IF('작업 관리'!$I40="마일스톤",3,IF('작업 관리'!$G40="완료",2,1)),"")</x:f>
      </x:c>
      <x:c r="Q40" s="55" t="str">
        <x:f>IF(AND(Q$8&gt;='작업 관리'!$E40,Q$8&lt;='작업 관리'!$F40),IF('작업 관리'!$I40="마일스톤",3,IF('작업 관리'!$G40="완료",2,1)),"")</x:f>
      </x:c>
      <x:c r="R40" s="55" t="str">
        <x:f>IF(AND(R$8&gt;='작업 관리'!$E40,R$8&lt;='작업 관리'!$F40),IF('작업 관리'!$I40="마일스톤",3,IF('작업 관리'!$G40="완료",2,1)),"")</x:f>
      </x:c>
      <x:c r="S40" s="55" t="str">
        <x:f>IF(AND(S$8&gt;='작업 관리'!$E40,S$8&lt;='작업 관리'!$F40),IF('작업 관리'!$I40="마일스톤",3,IF('작업 관리'!$G40="완료",2,1)),"")</x:f>
      </x:c>
    </x:row>
    <x:row r="41" ht="48" customHeight="1">
      <x:c r="A41" s="72" t="str">
        <x:f>'작업 관리'!A41</x:f>
        <x:v>3.5</x:v>
      </x:c>
      <x:c r="B41" s="15" t="str">
        <x:f>'작업 관리'!C41</x:f>
        <x:v>현금흐름 괴리와 업종 비교 분석</x:v>
      </x:c>
      <x:c r="C41" s="2" t="str">
        <x:f>'작업 관리'!D41</x:f>
        <x:v>김동민</x:v>
      </x:c>
      <x:c r="D41" s="54" t="str">
        <x:f>IF(AND(D$8&gt;='작업 관리'!$E41,D$8&lt;='작업 관리'!$F41),IF('작업 관리'!$I41="마일스톤",3,IF('작업 관리'!$G41="완료",2,1)),"")</x:f>
      </x:c>
      <x:c r="E41" s="54" t="str">
        <x:f>IF(AND(E$8&gt;='작업 관리'!$E41,E$8&lt;='작업 관리'!$F41),IF('작업 관리'!$I41="마일스톤",3,IF('작업 관리'!$G41="완료",2,1)),"")</x:f>
      </x:c>
      <x:c r="F41" s="54" t="str">
        <x:f>IF(AND(F$8&gt;='작업 관리'!$E41,F$8&lt;='작업 관리'!$F41),IF('작업 관리'!$I41="마일스톤",3,IF('작업 관리'!$G41="완료",2,1)),"")</x:f>
      </x:c>
      <x:c r="G41" s="56" t="str">
        <x:f>IF(AND(G$8&gt;='작업 관리'!$E41,G$8&lt;='작업 관리'!$F41),IF('작업 관리'!$I41="마일스톤",3,IF('작업 관리'!$G41="완료",2,1)),"")</x:f>
      </x:c>
      <x:c r="H41" s="56" t="str">
        <x:f>IF(AND(H$8&gt;='작업 관리'!$E41,H$8&lt;='작업 관리'!$F41),IF('작업 관리'!$I41="마일스톤",3,IF('작업 관리'!$G41="완료",2,1)),"")</x:f>
      </x:c>
      <x:c r="I41" s="54" t="str">
        <x:f>IF(AND(I$8&gt;='작업 관리'!$E41,I$8&lt;='작업 관리'!$F41),IF('작업 관리'!$I41="마일스톤",3,IF('작업 관리'!$G41="완료",2,1)),"")</x:f>
      </x:c>
      <x:c r="J41" s="54" t="str">
        <x:f>IF(AND(J$8&gt;='작업 관리'!$E41,J$8&lt;='작업 관리'!$F41),IF('작업 관리'!$I41="마일스톤",3,IF('작업 관리'!$G41="완료",2,1)),"")</x:f>
      </x:c>
      <x:c r="K41" s="54" t="str">
        <x:f>IF(AND(K$8&gt;='작업 관리'!$E41,K$8&lt;='작업 관리'!$F41),IF('작업 관리'!$I41="마일스톤",3,IF('작업 관리'!$G41="완료",2,1)),"")</x:f>
      </x:c>
      <x:c r="L41" s="54" t="n">
        <x:f>IF(AND(L$8&gt;='작업 관리'!$E41,L$8&lt;='작업 관리'!$F41),IF('작업 관리'!$I41="마일스톤",3,IF('작업 관리'!$G41="완료",2,1)),"")</x:f>
        <x:v>1</x:v>
      </x:c>
      <x:c r="M41" s="54" t="n">
        <x:f>IF(AND(M$8&gt;='작업 관리'!$E41,M$8&lt;='작업 관리'!$F41),IF('작업 관리'!$I41="마일스톤",3,IF('작업 관리'!$G41="완료",2,1)),"")</x:f>
        <x:v>1</x:v>
      </x:c>
      <x:c r="N41" s="56" t="str">
        <x:f>IF(AND(N$8&gt;='작업 관리'!$E41,N$8&lt;='작업 관리'!$F41),IF('작업 관리'!$I41="마일스톤",3,IF('작업 관리'!$G41="완료",2,1)),"")</x:f>
      </x:c>
      <x:c r="O41" s="56" t="str">
        <x:f>IF(AND(O$8&gt;='작업 관리'!$E41,O$8&lt;='작업 관리'!$F41),IF('작업 관리'!$I41="마일스톤",3,IF('작업 관리'!$G41="완료",2,1)),"")</x:f>
      </x:c>
      <x:c r="P41" s="54" t="str">
        <x:f>IF(AND(P$8&gt;='작업 관리'!$E41,P$8&lt;='작업 관리'!$F41),IF('작업 관리'!$I41="마일스톤",3,IF('작업 관리'!$G41="완료",2,1)),"")</x:f>
      </x:c>
      <x:c r="Q41" s="54" t="str">
        <x:f>IF(AND(Q$8&gt;='작업 관리'!$E41,Q$8&lt;='작업 관리'!$F41),IF('작업 관리'!$I41="마일스톤",3,IF('작업 관리'!$G41="완료",2,1)),"")</x:f>
      </x:c>
      <x:c r="R41" s="54" t="str">
        <x:f>IF(AND(R$8&gt;='작업 관리'!$E41,R$8&lt;='작업 관리'!$F41),IF('작업 관리'!$I41="마일스톤",3,IF('작업 관리'!$G41="완료",2,1)),"")</x:f>
      </x:c>
      <x:c r="S41" s="54" t="str">
        <x:f>IF(AND(S$8&gt;='작업 관리'!$E41,S$8&lt;='작업 관리'!$F41),IF('작업 관리'!$I41="마일스톤",3,IF('작업 관리'!$G41="완료",2,1)),"")</x:f>
      </x:c>
    </x:row>
    <x:row r="42" ht="48" customHeight="1">
      <x:c r="A42" s="83" t="str">
        <x:f>'작업 관리'!A42</x:f>
        <x:v>3.7</x:v>
      </x:c>
      <x:c r="B42" s="16" t="str">
        <x:f>'작업 관리'!C42</x:f>
        <x:v>핵심 분석과 확인 항목 통합</x:v>
      </x:c>
      <x:c r="C42" s="14" t="str">
        <x:f>'작업 관리'!D42</x:f>
        <x:v>서종원</x:v>
      </x:c>
      <x:c r="D42" s="55" t="str">
        <x:f>IF(AND(D$8&gt;='작업 관리'!$E42,D$8&lt;='작업 관리'!$F42),IF('작업 관리'!$I42="마일스톤",3,IF('작업 관리'!$G42="완료",2,1)),"")</x:f>
      </x:c>
      <x:c r="E42" s="55" t="str">
        <x:f>IF(AND(E$8&gt;='작업 관리'!$E42,E$8&lt;='작업 관리'!$F42),IF('작업 관리'!$I42="마일스톤",3,IF('작업 관리'!$G42="완료",2,1)),"")</x:f>
      </x:c>
      <x:c r="F42" s="55" t="str">
        <x:f>IF(AND(F$8&gt;='작업 관리'!$E42,F$8&lt;='작업 관리'!$F42),IF('작업 관리'!$I42="마일스톤",3,IF('작업 관리'!$G42="완료",2,1)),"")</x:f>
      </x:c>
      <x:c r="G42" s="56" t="str">
        <x:f>IF(AND(G$8&gt;='작업 관리'!$E42,G$8&lt;='작업 관리'!$F42),IF('작업 관리'!$I42="마일스톤",3,IF('작업 관리'!$G42="완료",2,1)),"")</x:f>
      </x:c>
      <x:c r="H42" s="56" t="str">
        <x:f>IF(AND(H$8&gt;='작업 관리'!$E42,H$8&lt;='작업 관리'!$F42),IF('작업 관리'!$I42="마일스톤",3,IF('작업 관리'!$G42="완료",2,1)),"")</x:f>
      </x:c>
      <x:c r="I42" s="55" t="str">
        <x:f>IF(AND(I$8&gt;='작업 관리'!$E42,I$8&lt;='작업 관리'!$F42),IF('작업 관리'!$I42="마일스톤",3,IF('작업 관리'!$G42="완료",2,1)),"")</x:f>
      </x:c>
      <x:c r="J42" s="55" t="str">
        <x:f>IF(AND(J$8&gt;='작업 관리'!$E42,J$8&lt;='작업 관리'!$F42),IF('작업 관리'!$I42="마일스톤",3,IF('작업 관리'!$G42="완료",2,1)),"")</x:f>
      </x:c>
      <x:c r="K42" s="55" t="str">
        <x:f>IF(AND(K$8&gt;='작업 관리'!$E42,K$8&lt;='작업 관리'!$F42),IF('작업 관리'!$I42="마일스톤",3,IF('작업 관리'!$G42="완료",2,1)),"")</x:f>
      </x:c>
      <x:c r="L42" s="55" t="n">
        <x:f>IF(AND(L$8&gt;='작업 관리'!$E42,L$8&lt;='작업 관리'!$F42),IF('작업 관리'!$I42="마일스톤",3,IF('작업 관리'!$G42="완료",2,1)),"")</x:f>
        <x:v>1</x:v>
      </x:c>
      <x:c r="M42" s="55" t="n">
        <x:f>IF(AND(M$8&gt;='작업 관리'!$E42,M$8&lt;='작업 관리'!$F42),IF('작업 관리'!$I42="마일스톤",3,IF('작업 관리'!$G42="완료",2,1)),"")</x:f>
        <x:v>1</x:v>
      </x:c>
      <x:c r="N42" s="56" t="str">
        <x:f>IF(AND(N$8&gt;='작업 관리'!$E42,N$8&lt;='작업 관리'!$F42),IF('작업 관리'!$I42="마일스톤",3,IF('작업 관리'!$G42="완료",2,1)),"")</x:f>
      </x:c>
      <x:c r="O42" s="56" t="str">
        <x:f>IF(AND(O$8&gt;='작업 관리'!$E42,O$8&lt;='작업 관리'!$F42),IF('작업 관리'!$I42="마일스톤",3,IF('작업 관리'!$G42="완료",2,1)),"")</x:f>
      </x:c>
      <x:c r="P42" s="55" t="str">
        <x:f>IF(AND(P$8&gt;='작업 관리'!$E42,P$8&lt;='작업 관리'!$F42),IF('작업 관리'!$I42="마일스톤",3,IF('작업 관리'!$G42="완료",2,1)),"")</x:f>
      </x:c>
      <x:c r="Q42" s="55" t="str">
        <x:f>IF(AND(Q$8&gt;='작업 관리'!$E42,Q$8&lt;='작업 관리'!$F42),IF('작업 관리'!$I42="마일스톤",3,IF('작업 관리'!$G42="완료",2,1)),"")</x:f>
      </x:c>
      <x:c r="R42" s="55" t="str">
        <x:f>IF(AND(R$8&gt;='작업 관리'!$E42,R$8&lt;='작업 관리'!$F42),IF('작업 관리'!$I42="마일스톤",3,IF('작업 관리'!$G42="완료",2,1)),"")</x:f>
      </x:c>
      <x:c r="S42" s="55" t="str">
        <x:f>IF(AND(S$8&gt;='작업 관리'!$E42,S$8&lt;='작업 관리'!$F42),IF('작업 관리'!$I42="마일스톤",3,IF('작업 관리'!$G42="완료",2,1)),"")</x:f>
      </x:c>
    </x:row>
    <x:row r="43" ht="48" customHeight="1">
      <x:c r="A43" s="72" t="str">
        <x:f>'작업 관리'!A43</x:f>
        <x:v>3.M2</x:v>
      </x:c>
      <x:c r="B43" s="15" t="str">
        <x:f>'작업 관리'!C43</x:f>
        <x:v>핵심 재무 기능 통합 완료 판단</x:v>
      </x:c>
      <x:c r="C43" s="2" t="str">
        <x:f>'작업 관리'!D43</x:f>
        <x:v>김동혁</x:v>
      </x:c>
      <x:c r="D43" s="54" t="str">
        <x:f>IF(AND(D$8&gt;='작업 관리'!$E43,D$8&lt;='작업 관리'!$F43),IF('작업 관리'!$I43="마일스톤",3,IF('작업 관리'!$G43="완료",2,1)),"")</x:f>
      </x:c>
      <x:c r="E43" s="54" t="str">
        <x:f>IF(AND(E$8&gt;='작업 관리'!$E43,E$8&lt;='작업 관리'!$F43),IF('작업 관리'!$I43="마일스톤",3,IF('작업 관리'!$G43="완료",2,1)),"")</x:f>
      </x:c>
      <x:c r="F43" s="54" t="str">
        <x:f>IF(AND(F$8&gt;='작업 관리'!$E43,F$8&lt;='작업 관리'!$F43),IF('작업 관리'!$I43="마일스톤",3,IF('작업 관리'!$G43="완료",2,1)),"")</x:f>
      </x:c>
      <x:c r="G43" s="56" t="str">
        <x:f>IF(AND(G$8&gt;='작업 관리'!$E43,G$8&lt;='작업 관리'!$F43),IF('작업 관리'!$I43="마일스톤",3,IF('작업 관리'!$G43="완료",2,1)),"")</x:f>
      </x:c>
      <x:c r="H43" s="56" t="str">
        <x:f>IF(AND(H$8&gt;='작업 관리'!$E43,H$8&lt;='작업 관리'!$F43),IF('작업 관리'!$I43="마일스톤",3,IF('작업 관리'!$G43="완료",2,1)),"")</x:f>
      </x:c>
      <x:c r="I43" s="54" t="str">
        <x:f>IF(AND(I$8&gt;='작업 관리'!$E43,I$8&lt;='작업 관리'!$F43),IF('작업 관리'!$I43="마일스톤",3,IF('작업 관리'!$G43="완료",2,1)),"")</x:f>
      </x:c>
      <x:c r="J43" s="54" t="str">
        <x:f>IF(AND(J$8&gt;='작업 관리'!$E43,J$8&lt;='작업 관리'!$F43),IF('작업 관리'!$I43="마일스톤",3,IF('작업 관리'!$G43="완료",2,1)),"")</x:f>
      </x:c>
      <x:c r="K43" s="54" t="str">
        <x:f>IF(AND(K$8&gt;='작업 관리'!$E43,K$8&lt;='작업 관리'!$F43),IF('작업 관리'!$I43="마일스톤",3,IF('작업 관리'!$G43="완료",2,1)),"")</x:f>
      </x:c>
      <x:c r="L43" s="54" t="str">
        <x:f>IF(AND(L$8&gt;='작업 관리'!$E43,L$8&lt;='작업 관리'!$F43),IF('작업 관리'!$I43="마일스톤",3,IF('작업 관리'!$G43="완료",2,1)),"")</x:f>
      </x:c>
      <x:c r="M43" s="54" t="n">
        <x:f>IF(AND(M$8&gt;='작업 관리'!$E43,M$8&lt;='작업 관리'!$F43),IF('작업 관리'!$I43="마일스톤",3,IF('작업 관리'!$G43="완료",2,1)),"")</x:f>
        <x:v>3</x:v>
      </x:c>
      <x:c r="N43" s="56" t="str">
        <x:f>IF(AND(N$8&gt;='작업 관리'!$E43,N$8&lt;='작업 관리'!$F43),IF('작업 관리'!$I43="마일스톤",3,IF('작업 관리'!$G43="완료",2,1)),"")</x:f>
      </x:c>
      <x:c r="O43" s="56" t="str">
        <x:f>IF(AND(O$8&gt;='작업 관리'!$E43,O$8&lt;='작업 관리'!$F43),IF('작업 관리'!$I43="마일스톤",3,IF('작업 관리'!$G43="완료",2,1)),"")</x:f>
      </x:c>
      <x:c r="P43" s="54" t="str">
        <x:f>IF(AND(P$8&gt;='작업 관리'!$E43,P$8&lt;='작업 관리'!$F43),IF('작업 관리'!$I43="마일스톤",3,IF('작업 관리'!$G43="완료",2,1)),"")</x:f>
      </x:c>
      <x:c r="Q43" s="54" t="str">
        <x:f>IF(AND(Q$8&gt;='작업 관리'!$E43,Q$8&lt;='작업 관리'!$F43),IF('작업 관리'!$I43="마일스톤",3,IF('작업 관리'!$G43="완료",2,1)),"")</x:f>
      </x:c>
      <x:c r="R43" s="54" t="str">
        <x:f>IF(AND(R$8&gt;='작업 관리'!$E43,R$8&lt;='작업 관리'!$F43),IF('작업 관리'!$I43="마일스톤",3,IF('작업 관리'!$G43="완료",2,1)),"")</x:f>
      </x:c>
      <x:c r="S43" s="54" t="str">
        <x:f>IF(AND(S$8&gt;='작업 관리'!$E43,S$8&lt;='작업 관리'!$F43),IF('작업 관리'!$I43="마일스톤",3,IF('작업 관리'!$G43="완료",2,1)),"")</x:f>
      </x:c>
    </x:row>
    <x:row r="44" ht="48" customHeight="1">
      <x:c r="A44" s="83" t="str">
        <x:f>'작업 관리'!A44</x:f>
        <x:v>4.1</x:v>
      </x:c>
      <x:c r="B44" s="16" t="str">
        <x:f>'작업 관리'!C44</x:f>
        <x:v>주석 요약 형식과 확인 안내 정의</x:v>
      </x:c>
      <x:c r="C44" s="14" t="str">
        <x:f>'작업 관리'!D44</x:f>
        <x:v>오준탁</x:v>
      </x:c>
      <x:c r="D44" s="55" t="str">
        <x:f>IF(AND(D$8&gt;='작업 관리'!$E44,D$8&lt;='작업 관리'!$F44),IF('작업 관리'!$I44="마일스톤",3,IF('작업 관리'!$G44="완료",2,1)),"")</x:f>
      </x:c>
      <x:c r="E44" s="55" t="str">
        <x:f>IF(AND(E$8&gt;='작업 관리'!$E44,E$8&lt;='작업 관리'!$F44),IF('작업 관리'!$I44="마일스톤",3,IF('작업 관리'!$G44="완료",2,1)),"")</x:f>
      </x:c>
      <x:c r="F44" s="55" t="str">
        <x:f>IF(AND(F$8&gt;='작업 관리'!$E44,F$8&lt;='작업 관리'!$F44),IF('작업 관리'!$I44="마일스톤",3,IF('작업 관리'!$G44="완료",2,1)),"")</x:f>
      </x:c>
      <x:c r="G44" s="56" t="str">
        <x:f>IF(AND(G$8&gt;='작업 관리'!$E44,G$8&lt;='작업 관리'!$F44),IF('작업 관리'!$I44="마일스톤",3,IF('작업 관리'!$G44="완료",2,1)),"")</x:f>
      </x:c>
      <x:c r="H44" s="56" t="str">
        <x:f>IF(AND(H$8&gt;='작업 관리'!$E44,H$8&lt;='작업 관리'!$F44),IF('작업 관리'!$I44="마일스톤",3,IF('작업 관리'!$G44="완료",2,1)),"")</x:f>
      </x:c>
      <x:c r="I44" s="55" t="n">
        <x:f>IF(AND(I$8&gt;='작업 관리'!$E44,I$8&lt;='작업 관리'!$F44),IF('작업 관리'!$I44="마일스톤",3,IF('작업 관리'!$G44="완료",2,1)),"")</x:f>
        <x:v>1</x:v>
      </x:c>
      <x:c r="J44" s="55" t="str">
        <x:f>IF(AND(J$8&gt;='작업 관리'!$E44,J$8&lt;='작업 관리'!$F44),IF('작업 관리'!$I44="마일스톤",3,IF('작업 관리'!$G44="완료",2,1)),"")</x:f>
      </x:c>
      <x:c r="K44" s="55" t="str">
        <x:f>IF(AND(K$8&gt;='작업 관리'!$E44,K$8&lt;='작업 관리'!$F44),IF('작업 관리'!$I44="마일스톤",3,IF('작업 관리'!$G44="완료",2,1)),"")</x:f>
      </x:c>
      <x:c r="L44" s="55" t="str">
        <x:f>IF(AND(L$8&gt;='작업 관리'!$E44,L$8&lt;='작업 관리'!$F44),IF('작업 관리'!$I44="마일스톤",3,IF('작업 관리'!$G44="완료",2,1)),"")</x:f>
      </x:c>
      <x:c r="M44" s="55" t="str">
        <x:f>IF(AND(M$8&gt;='작업 관리'!$E44,M$8&lt;='작업 관리'!$F44),IF('작업 관리'!$I44="마일스톤",3,IF('작업 관리'!$G44="완료",2,1)),"")</x:f>
      </x:c>
      <x:c r="N44" s="56" t="str">
        <x:f>IF(AND(N$8&gt;='작업 관리'!$E44,N$8&lt;='작업 관리'!$F44),IF('작업 관리'!$I44="마일스톤",3,IF('작업 관리'!$G44="완료",2,1)),"")</x:f>
      </x:c>
      <x:c r="O44" s="56" t="str">
        <x:f>IF(AND(O$8&gt;='작업 관리'!$E44,O$8&lt;='작업 관리'!$F44),IF('작업 관리'!$I44="마일스톤",3,IF('작업 관리'!$G44="완료",2,1)),"")</x:f>
      </x:c>
      <x:c r="P44" s="55" t="str">
        <x:f>IF(AND(P$8&gt;='작업 관리'!$E44,P$8&lt;='작업 관리'!$F44),IF('작업 관리'!$I44="마일스톤",3,IF('작업 관리'!$G44="완료",2,1)),"")</x:f>
      </x:c>
      <x:c r="Q44" s="55" t="str">
        <x:f>IF(AND(Q$8&gt;='작업 관리'!$E44,Q$8&lt;='작업 관리'!$F44),IF('작업 관리'!$I44="마일스톤",3,IF('작업 관리'!$G44="완료",2,1)),"")</x:f>
      </x:c>
      <x:c r="R44" s="55" t="str">
        <x:f>IF(AND(R$8&gt;='작업 관리'!$E44,R$8&lt;='작업 관리'!$F44),IF('작업 관리'!$I44="마일스톤",3,IF('작업 관리'!$G44="완료",2,1)),"")</x:f>
      </x:c>
      <x:c r="S44" s="55" t="str">
        <x:f>IF(AND(S$8&gt;='작업 관리'!$E44,S$8&lt;='작업 관리'!$F44),IF('작업 관리'!$I44="마일스톤",3,IF('작업 관리'!$G44="완료",2,1)),"")</x:f>
      </x:c>
    </x:row>
    <x:row r="45" ht="48" customHeight="1">
      <x:c r="A45" s="72" t="str">
        <x:f>'작업 관리'!A45</x:f>
        <x:v>4.2</x:v>
      </x:c>
      <x:c r="B45" s="15" t="str">
        <x:f>'작업 관리'!C45</x:f>
        <x:v>주석 위험 항목 추출과 AI 요약</x:v>
      </x:c>
      <x:c r="C45" s="2" t="str">
        <x:f>'작업 관리'!D45</x:f>
        <x:v>김동혁</x:v>
      </x:c>
      <x:c r="D45" s="54" t="str">
        <x:f>IF(AND(D$8&gt;='작업 관리'!$E45,D$8&lt;='작업 관리'!$F45),IF('작업 관리'!$I45="마일스톤",3,IF('작업 관리'!$G45="완료",2,1)),"")</x:f>
      </x:c>
      <x:c r="E45" s="54" t="str">
        <x:f>IF(AND(E$8&gt;='작업 관리'!$E45,E$8&lt;='작업 관리'!$F45),IF('작업 관리'!$I45="마일스톤",3,IF('작업 관리'!$G45="완료",2,1)),"")</x:f>
      </x:c>
      <x:c r="F45" s="54" t="str">
        <x:f>IF(AND(F$8&gt;='작업 관리'!$E45,F$8&lt;='작업 관리'!$F45),IF('작업 관리'!$I45="마일스톤",3,IF('작업 관리'!$G45="완료",2,1)),"")</x:f>
      </x:c>
      <x:c r="G45" s="56" t="str">
        <x:f>IF(AND(G$8&gt;='작업 관리'!$E45,G$8&lt;='작업 관리'!$F45),IF('작업 관리'!$I45="마일스톤",3,IF('작업 관리'!$G45="완료",2,1)),"")</x:f>
      </x:c>
      <x:c r="H45" s="56" t="str">
        <x:f>IF(AND(H$8&gt;='작업 관리'!$E45,H$8&lt;='작업 관리'!$F45),IF('작업 관리'!$I45="마일스톤",3,IF('작업 관리'!$G45="완료",2,1)),"")</x:f>
      </x:c>
      <x:c r="I45" s="54" t="n">
        <x:f>IF(AND(I$8&gt;='작업 관리'!$E45,I$8&lt;='작업 관리'!$F45),IF('작업 관리'!$I45="마일스톤",3,IF('작업 관리'!$G45="완료",2,1)),"")</x:f>
        <x:v>1</x:v>
      </x:c>
      <x:c r="J45" s="54" t="n">
        <x:f>IF(AND(J$8&gt;='작업 관리'!$E45,J$8&lt;='작업 관리'!$F45),IF('작업 관리'!$I45="마일스톤",3,IF('작업 관리'!$G45="완료",2,1)),"")</x:f>
        <x:v>1</x:v>
      </x:c>
      <x:c r="K45" s="54" t="str">
        <x:f>IF(AND(K$8&gt;='작업 관리'!$E45,K$8&lt;='작업 관리'!$F45),IF('작업 관리'!$I45="마일스톤",3,IF('작업 관리'!$G45="완료",2,1)),"")</x:f>
      </x:c>
      <x:c r="L45" s="54" t="str">
        <x:f>IF(AND(L$8&gt;='작업 관리'!$E45,L$8&lt;='작업 관리'!$F45),IF('작업 관리'!$I45="마일스톤",3,IF('작업 관리'!$G45="완료",2,1)),"")</x:f>
      </x:c>
      <x:c r="M45" s="54" t="str">
        <x:f>IF(AND(M$8&gt;='작업 관리'!$E45,M$8&lt;='작업 관리'!$F45),IF('작업 관리'!$I45="마일스톤",3,IF('작업 관리'!$G45="완료",2,1)),"")</x:f>
      </x:c>
      <x:c r="N45" s="56" t="str">
        <x:f>IF(AND(N$8&gt;='작업 관리'!$E45,N$8&lt;='작업 관리'!$F45),IF('작업 관리'!$I45="마일스톤",3,IF('작업 관리'!$G45="완료",2,1)),"")</x:f>
      </x:c>
      <x:c r="O45" s="56" t="str">
        <x:f>IF(AND(O$8&gt;='작업 관리'!$E45,O$8&lt;='작업 관리'!$F45),IF('작업 관리'!$I45="마일스톤",3,IF('작업 관리'!$G45="완료",2,1)),"")</x:f>
      </x:c>
      <x:c r="P45" s="54" t="str">
        <x:f>IF(AND(P$8&gt;='작업 관리'!$E45,P$8&lt;='작업 관리'!$F45),IF('작업 관리'!$I45="마일스톤",3,IF('작업 관리'!$G45="완료",2,1)),"")</x:f>
      </x:c>
      <x:c r="Q45" s="54" t="str">
        <x:f>IF(AND(Q$8&gt;='작업 관리'!$E45,Q$8&lt;='작업 관리'!$F45),IF('작업 관리'!$I45="마일스톤",3,IF('작업 관리'!$G45="완료",2,1)),"")</x:f>
      </x:c>
      <x:c r="R45" s="54" t="str">
        <x:f>IF(AND(R$8&gt;='작업 관리'!$E45,R$8&lt;='작업 관리'!$F45),IF('작업 관리'!$I45="마일스톤",3,IF('작업 관리'!$G45="완료",2,1)),"")</x:f>
      </x:c>
      <x:c r="S45" s="54" t="str">
        <x:f>IF(AND(S$8&gt;='작업 관리'!$E45,S$8&lt;='작업 관리'!$F45),IF('작업 관리'!$I45="마일스톤",3,IF('작업 관리'!$G45="완료",2,1)),"")</x:f>
      </x:c>
    </x:row>
    <x:row r="46" ht="48" customHeight="1">
      <x:c r="A46" s="83" t="str">
        <x:f>'작업 관리'!A46</x:f>
        <x:v>4.8</x:v>
      </x:c>
      <x:c r="B46" s="16" t="str">
        <x:f>'작업 관리'!C46</x:f>
        <x:v>공통 주석 6범주 추출 규칙 구현</x:v>
      </x:c>
      <x:c r="C46" s="14" t="str">
        <x:f>'작업 관리'!D46</x:f>
        <x:v>김동혁</x:v>
      </x:c>
      <x:c r="D46" s="55" t="str">
        <x:f>IF(AND(D$8&gt;='작업 관리'!$E46,D$8&lt;='작업 관리'!$F46),IF('작업 관리'!$I46="마일스톤",3,IF('작업 관리'!$G46="완료",2,1)),"")</x:f>
      </x:c>
      <x:c r="E46" s="55" t="str">
        <x:f>IF(AND(E$8&gt;='작업 관리'!$E46,E$8&lt;='작업 관리'!$F46),IF('작업 관리'!$I46="마일스톤",3,IF('작업 관리'!$G46="완료",2,1)),"")</x:f>
      </x:c>
      <x:c r="F46" s="55" t="str">
        <x:f>IF(AND(F$8&gt;='작업 관리'!$E46,F$8&lt;='작업 관리'!$F46),IF('작업 관리'!$I46="마일스톤",3,IF('작업 관리'!$G46="완료",2,1)),"")</x:f>
      </x:c>
      <x:c r="G46" s="56" t="str">
        <x:f>IF(AND(G$8&gt;='작업 관리'!$E46,G$8&lt;='작업 관리'!$F46),IF('작업 관리'!$I46="마일스톤",3,IF('작업 관리'!$G46="완료",2,1)),"")</x:f>
      </x:c>
      <x:c r="H46" s="56" t="str">
        <x:f>IF(AND(H$8&gt;='작업 관리'!$E46,H$8&lt;='작업 관리'!$F46),IF('작업 관리'!$I46="마일스톤",3,IF('작업 관리'!$G46="완료",2,1)),"")</x:f>
      </x:c>
      <x:c r="I46" s="55" t="n">
        <x:f>IF(AND(I$8&gt;='작업 관리'!$E46,I$8&lt;='작업 관리'!$F46),IF('작업 관리'!$I46="마일스톤",3,IF('작업 관리'!$G46="완료",2,1)),"")</x:f>
        <x:v>1</x:v>
      </x:c>
      <x:c r="J46" s="55" t="n">
        <x:f>IF(AND(J$8&gt;='작업 관리'!$E46,J$8&lt;='작업 관리'!$F46),IF('작업 관리'!$I46="마일스톤",3,IF('작업 관리'!$G46="완료",2,1)),"")</x:f>
        <x:v>1</x:v>
      </x:c>
      <x:c r="K46" s="55" t="str">
        <x:f>IF(AND(K$8&gt;='작업 관리'!$E46,K$8&lt;='작업 관리'!$F46),IF('작업 관리'!$I46="마일스톤",3,IF('작업 관리'!$G46="완료",2,1)),"")</x:f>
      </x:c>
      <x:c r="L46" s="55" t="str">
        <x:f>IF(AND(L$8&gt;='작업 관리'!$E46,L$8&lt;='작업 관리'!$F46),IF('작업 관리'!$I46="마일스톤",3,IF('작업 관리'!$G46="완료",2,1)),"")</x:f>
      </x:c>
      <x:c r="M46" s="55" t="str">
        <x:f>IF(AND(M$8&gt;='작업 관리'!$E46,M$8&lt;='작업 관리'!$F46),IF('작업 관리'!$I46="마일스톤",3,IF('작업 관리'!$G46="완료",2,1)),"")</x:f>
      </x:c>
      <x:c r="N46" s="56" t="str">
        <x:f>IF(AND(N$8&gt;='작업 관리'!$E46,N$8&lt;='작업 관리'!$F46),IF('작업 관리'!$I46="마일스톤",3,IF('작업 관리'!$G46="완료",2,1)),"")</x:f>
      </x:c>
      <x:c r="O46" s="56" t="str">
        <x:f>IF(AND(O$8&gt;='작업 관리'!$E46,O$8&lt;='작업 관리'!$F46),IF('작업 관리'!$I46="마일스톤",3,IF('작업 관리'!$G46="완료",2,1)),"")</x:f>
      </x:c>
      <x:c r="P46" s="55" t="str">
        <x:f>IF(AND(P$8&gt;='작업 관리'!$E46,P$8&lt;='작업 관리'!$F46),IF('작업 관리'!$I46="마일스톤",3,IF('작업 관리'!$G46="완료",2,1)),"")</x:f>
      </x:c>
      <x:c r="Q46" s="55" t="str">
        <x:f>IF(AND(Q$8&gt;='작업 관리'!$E46,Q$8&lt;='작업 관리'!$F46),IF('작업 관리'!$I46="마일스톤",3,IF('작업 관리'!$G46="완료",2,1)),"")</x:f>
      </x:c>
      <x:c r="R46" s="55" t="str">
        <x:f>IF(AND(R$8&gt;='작업 관리'!$E46,R$8&lt;='작업 관리'!$F46),IF('작업 관리'!$I46="마일스톤",3,IF('작업 관리'!$G46="완료",2,1)),"")</x:f>
      </x:c>
      <x:c r="S46" s="55" t="str">
        <x:f>IF(AND(S$8&gt;='작업 관리'!$E46,S$8&lt;='작업 관리'!$F46),IF('작업 관리'!$I46="마일스톤",3,IF('작업 관리'!$G46="완료",2,1)),"")</x:f>
      </x:c>
    </x:row>
    <x:row r="47" ht="48" customHeight="1">
      <x:c r="A47" s="72" t="str">
        <x:f>'작업 관리'!A47</x:f>
        <x:v>4.3</x:v>
      </x:c>
      <x:c r="B47" s="15" t="str">
        <x:f>'작업 관리'!C47</x:f>
        <x:v>뉴스 수집 방식과 후보 기사 확보</x:v>
      </x:c>
      <x:c r="C47" s="2" t="str">
        <x:f>'작업 관리'!D47</x:f>
        <x:v>김동혁</x:v>
      </x:c>
      <x:c r="D47" s="54" t="str">
        <x:f>IF(AND(D$8&gt;='작업 관리'!$E47,D$8&lt;='작업 관리'!$F47),IF('작업 관리'!$I47="마일스톤",3,IF('작업 관리'!$G47="완료",2,1)),"")</x:f>
      </x:c>
      <x:c r="E47" s="54" t="str">
        <x:f>IF(AND(E$8&gt;='작업 관리'!$E47,E$8&lt;='작업 관리'!$F47),IF('작업 관리'!$I47="마일스톤",3,IF('작업 관리'!$G47="완료",2,1)),"")</x:f>
      </x:c>
      <x:c r="F47" s="54" t="str">
        <x:f>IF(AND(F$8&gt;='작업 관리'!$E47,F$8&lt;='작업 관리'!$F47),IF('작업 관리'!$I47="마일스톤",3,IF('작업 관리'!$G47="완료",2,1)),"")</x:f>
      </x:c>
      <x:c r="G47" s="56" t="str">
        <x:f>IF(AND(G$8&gt;='작업 관리'!$E47,G$8&lt;='작업 관리'!$F47),IF('작업 관리'!$I47="마일스톤",3,IF('작업 관리'!$G47="완료",2,1)),"")</x:f>
      </x:c>
      <x:c r="H47" s="56" t="str">
        <x:f>IF(AND(H$8&gt;='작업 관리'!$E47,H$8&lt;='작업 관리'!$F47),IF('작업 관리'!$I47="마일스톤",3,IF('작업 관리'!$G47="완료",2,1)),"")</x:f>
      </x:c>
      <x:c r="I47" s="54" t="str">
        <x:f>IF(AND(I$8&gt;='작업 관리'!$E47,I$8&lt;='작업 관리'!$F47),IF('작업 관리'!$I47="마일스톤",3,IF('작업 관리'!$G47="완료",2,1)),"")</x:f>
      </x:c>
      <x:c r="J47" s="54" t="n">
        <x:f>IF(AND(J$8&gt;='작업 관리'!$E47,J$8&lt;='작업 관리'!$F47),IF('작업 관리'!$I47="마일스톤",3,IF('작업 관리'!$G47="완료",2,1)),"")</x:f>
        <x:v>1</x:v>
      </x:c>
      <x:c r="K47" s="54" t="n">
        <x:f>IF(AND(K$8&gt;='작업 관리'!$E47,K$8&lt;='작업 관리'!$F47),IF('작업 관리'!$I47="마일스톤",3,IF('작업 관리'!$G47="완료",2,1)),"")</x:f>
        <x:v>1</x:v>
      </x:c>
      <x:c r="L47" s="54" t="str">
        <x:f>IF(AND(L$8&gt;='작업 관리'!$E47,L$8&lt;='작업 관리'!$F47),IF('작업 관리'!$I47="마일스톤",3,IF('작업 관리'!$G47="완료",2,1)),"")</x:f>
      </x:c>
      <x:c r="M47" s="54" t="str">
        <x:f>IF(AND(M$8&gt;='작업 관리'!$E47,M$8&lt;='작업 관리'!$F47),IF('작업 관리'!$I47="마일스톤",3,IF('작업 관리'!$G47="완료",2,1)),"")</x:f>
      </x:c>
      <x:c r="N47" s="56" t="str">
        <x:f>IF(AND(N$8&gt;='작업 관리'!$E47,N$8&lt;='작업 관리'!$F47),IF('작업 관리'!$I47="마일스톤",3,IF('작업 관리'!$G47="완료",2,1)),"")</x:f>
      </x:c>
      <x:c r="O47" s="56" t="str">
        <x:f>IF(AND(O$8&gt;='작업 관리'!$E47,O$8&lt;='작업 관리'!$F47),IF('작업 관리'!$I47="마일스톤",3,IF('작업 관리'!$G47="완료",2,1)),"")</x:f>
      </x:c>
      <x:c r="P47" s="54" t="str">
        <x:f>IF(AND(P$8&gt;='작업 관리'!$E47,P$8&lt;='작업 관리'!$F47),IF('작업 관리'!$I47="마일스톤",3,IF('작업 관리'!$G47="완료",2,1)),"")</x:f>
      </x:c>
      <x:c r="Q47" s="54" t="str">
        <x:f>IF(AND(Q$8&gt;='작업 관리'!$E47,Q$8&lt;='작업 관리'!$F47),IF('작업 관리'!$I47="마일스톤",3,IF('작업 관리'!$G47="완료",2,1)),"")</x:f>
      </x:c>
      <x:c r="R47" s="54" t="str">
        <x:f>IF(AND(R$8&gt;='작업 관리'!$E47,R$8&lt;='작업 관리'!$F47),IF('작업 관리'!$I47="마일스톤",3,IF('작업 관리'!$G47="완료",2,1)),"")</x:f>
      </x:c>
      <x:c r="S47" s="54" t="str">
        <x:f>IF(AND(S$8&gt;='작업 관리'!$E47,S$8&lt;='작업 관리'!$F47),IF('작업 관리'!$I47="마일스톤",3,IF('작업 관리'!$G47="완료",2,1)),"")</x:f>
      </x:c>
    </x:row>
    <x:row r="48" ht="48" customHeight="1">
      <x:c r="A48" s="83" t="str">
        <x:f>'작업 관리'!A48</x:f>
        <x:v>4.5</x:v>
      </x:c>
      <x:c r="B48" s="16" t="str">
        <x:f>'작업 관리'!C48</x:f>
        <x:v>AI 요약 원문 대조 검증</x:v>
      </x:c>
      <x:c r="C48" s="14" t="str">
        <x:f>'작업 관리'!D48</x:f>
        <x:v>최수인</x:v>
      </x:c>
      <x:c r="D48" s="55" t="str">
        <x:f>IF(AND(D$8&gt;='작업 관리'!$E48,D$8&lt;='작업 관리'!$F48),IF('작업 관리'!$I48="마일스톤",3,IF('작업 관리'!$G48="완료",2,1)),"")</x:f>
      </x:c>
      <x:c r="E48" s="55" t="str">
        <x:f>IF(AND(E$8&gt;='작업 관리'!$E48,E$8&lt;='작업 관리'!$F48),IF('작업 관리'!$I48="마일스톤",3,IF('작업 관리'!$G48="완료",2,1)),"")</x:f>
      </x:c>
      <x:c r="F48" s="55" t="str">
        <x:f>IF(AND(F$8&gt;='작업 관리'!$E48,F$8&lt;='작업 관리'!$F48),IF('작업 관리'!$I48="마일스톤",3,IF('작업 관리'!$G48="완료",2,1)),"")</x:f>
      </x:c>
      <x:c r="G48" s="56" t="str">
        <x:f>IF(AND(G$8&gt;='작업 관리'!$E48,G$8&lt;='작업 관리'!$F48),IF('작업 관리'!$I48="마일스톤",3,IF('작업 관리'!$G48="완료",2,1)),"")</x:f>
      </x:c>
      <x:c r="H48" s="56" t="str">
        <x:f>IF(AND(H$8&gt;='작업 관리'!$E48,H$8&lt;='작업 관리'!$F48),IF('작업 관리'!$I48="마일스톤",3,IF('작업 관리'!$G48="완료",2,1)),"")</x:f>
      </x:c>
      <x:c r="I48" s="55" t="str">
        <x:f>IF(AND(I$8&gt;='작업 관리'!$E48,I$8&lt;='작업 관리'!$F48),IF('작업 관리'!$I48="마일스톤",3,IF('작업 관리'!$G48="완료",2,1)),"")</x:f>
      </x:c>
      <x:c r="J48" s="55" t="n">
        <x:f>IF(AND(J$8&gt;='작업 관리'!$E48,J$8&lt;='작업 관리'!$F48),IF('작업 관리'!$I48="마일스톤",3,IF('작업 관리'!$G48="완료",2,1)),"")</x:f>
        <x:v>1</x:v>
      </x:c>
      <x:c r="K48" s="55" t="n">
        <x:f>IF(AND(K$8&gt;='작업 관리'!$E48,K$8&lt;='작업 관리'!$F48),IF('작업 관리'!$I48="마일스톤",3,IF('작업 관리'!$G48="완료",2,1)),"")</x:f>
        <x:v>1</x:v>
      </x:c>
      <x:c r="L48" s="55" t="str">
        <x:f>IF(AND(L$8&gt;='작업 관리'!$E48,L$8&lt;='작업 관리'!$F48),IF('작업 관리'!$I48="마일스톤",3,IF('작업 관리'!$G48="완료",2,1)),"")</x:f>
      </x:c>
      <x:c r="M48" s="55" t="str">
        <x:f>IF(AND(M$8&gt;='작업 관리'!$E48,M$8&lt;='작업 관리'!$F48),IF('작업 관리'!$I48="마일스톤",3,IF('작업 관리'!$G48="완료",2,1)),"")</x:f>
      </x:c>
      <x:c r="N48" s="56" t="str">
        <x:f>IF(AND(N$8&gt;='작업 관리'!$E48,N$8&lt;='작업 관리'!$F48),IF('작업 관리'!$I48="마일스톤",3,IF('작업 관리'!$G48="완료",2,1)),"")</x:f>
      </x:c>
      <x:c r="O48" s="56" t="str">
        <x:f>IF(AND(O$8&gt;='작업 관리'!$E48,O$8&lt;='작업 관리'!$F48),IF('작업 관리'!$I48="마일스톤",3,IF('작업 관리'!$G48="완료",2,1)),"")</x:f>
      </x:c>
      <x:c r="P48" s="55" t="str">
        <x:f>IF(AND(P$8&gt;='작업 관리'!$E48,P$8&lt;='작업 관리'!$F48),IF('작업 관리'!$I48="마일스톤",3,IF('작업 관리'!$G48="완료",2,1)),"")</x:f>
      </x:c>
      <x:c r="Q48" s="55" t="str">
        <x:f>IF(AND(Q$8&gt;='작업 관리'!$E48,Q$8&lt;='작업 관리'!$F48),IF('작업 관리'!$I48="마일스톤",3,IF('작업 관리'!$G48="완료",2,1)),"")</x:f>
      </x:c>
      <x:c r="R48" s="55" t="str">
        <x:f>IF(AND(R$8&gt;='작업 관리'!$E48,R$8&lt;='작업 관리'!$F48),IF('작업 관리'!$I48="마일스톤",3,IF('작업 관리'!$G48="완료",2,1)),"")</x:f>
      </x:c>
      <x:c r="S48" s="55" t="str">
        <x:f>IF(AND(S$8&gt;='작업 관리'!$E48,S$8&lt;='작업 관리'!$F48),IF('작업 관리'!$I48="마일스톤",3,IF('작업 관리'!$G48="완료",2,1)),"")</x:f>
      </x:c>
    </x:row>
    <x:row r="49" ht="48" customHeight="1">
      <x:c r="A49" s="72" t="str">
        <x:f>'작업 관리'!A49</x:f>
        <x:v>4.9</x:v>
      </x:c>
      <x:c r="B49" s="15" t="str">
        <x:f>'작업 관리'!C49</x:f>
        <x:v>4개 업종별 주석 추가 추출 규칙 구현</x:v>
      </x:c>
      <x:c r="C49" s="2" t="str">
        <x:f>'작업 관리'!D49</x:f>
        <x:v>김동혁</x:v>
      </x:c>
      <x:c r="D49" s="54" t="str">
        <x:f>IF(AND(D$8&gt;='작업 관리'!$E49,D$8&lt;='작업 관리'!$F49),IF('작업 관리'!$I49="마일스톤",3,IF('작업 관리'!$G49="완료",2,1)),"")</x:f>
      </x:c>
      <x:c r="E49" s="54" t="str">
        <x:f>IF(AND(E$8&gt;='작업 관리'!$E49,E$8&lt;='작업 관리'!$F49),IF('작업 관리'!$I49="마일스톤",3,IF('작업 관리'!$G49="완료",2,1)),"")</x:f>
      </x:c>
      <x:c r="F49" s="54" t="str">
        <x:f>IF(AND(F$8&gt;='작업 관리'!$E49,F$8&lt;='작업 관리'!$F49),IF('작업 관리'!$I49="마일스톤",3,IF('작업 관리'!$G49="완료",2,1)),"")</x:f>
      </x:c>
      <x:c r="G49" s="56" t="str">
        <x:f>IF(AND(G$8&gt;='작업 관리'!$E49,G$8&lt;='작업 관리'!$F49),IF('작업 관리'!$I49="마일스톤",3,IF('작업 관리'!$G49="완료",2,1)),"")</x:f>
      </x:c>
      <x:c r="H49" s="56" t="str">
        <x:f>IF(AND(H$8&gt;='작업 관리'!$E49,H$8&lt;='작업 관리'!$F49),IF('작업 관리'!$I49="마일스톤",3,IF('작업 관리'!$G49="완료",2,1)),"")</x:f>
      </x:c>
      <x:c r="I49" s="54" t="str">
        <x:f>IF(AND(I$8&gt;='작업 관리'!$E49,I$8&lt;='작업 관리'!$F49),IF('작업 관리'!$I49="마일스톤",3,IF('작업 관리'!$G49="완료",2,1)),"")</x:f>
      </x:c>
      <x:c r="J49" s="54" t="n">
        <x:f>IF(AND(J$8&gt;='작업 관리'!$E49,J$8&lt;='작업 관리'!$F49),IF('작업 관리'!$I49="마일스톤",3,IF('작업 관리'!$G49="완료",2,1)),"")</x:f>
        <x:v>1</x:v>
      </x:c>
      <x:c r="K49" s="54" t="n">
        <x:f>IF(AND(K$8&gt;='작업 관리'!$E49,K$8&lt;='작업 관리'!$F49),IF('작업 관리'!$I49="마일스톤",3,IF('작업 관리'!$G49="완료",2,1)),"")</x:f>
        <x:v>1</x:v>
      </x:c>
      <x:c r="L49" s="54" t="str">
        <x:f>IF(AND(L$8&gt;='작업 관리'!$E49,L$8&lt;='작업 관리'!$F49),IF('작업 관리'!$I49="마일스톤",3,IF('작업 관리'!$G49="완료",2,1)),"")</x:f>
      </x:c>
      <x:c r="M49" s="54" t="str">
        <x:f>IF(AND(M$8&gt;='작업 관리'!$E49,M$8&lt;='작업 관리'!$F49),IF('작업 관리'!$I49="마일스톤",3,IF('작업 관리'!$G49="완료",2,1)),"")</x:f>
      </x:c>
      <x:c r="N49" s="56" t="str">
        <x:f>IF(AND(N$8&gt;='작업 관리'!$E49,N$8&lt;='작업 관리'!$F49),IF('작업 관리'!$I49="마일스톤",3,IF('작업 관리'!$G49="완료",2,1)),"")</x:f>
      </x:c>
      <x:c r="O49" s="56" t="str">
        <x:f>IF(AND(O$8&gt;='작업 관리'!$E49,O$8&lt;='작업 관리'!$F49),IF('작업 관리'!$I49="마일스톤",3,IF('작업 관리'!$G49="완료",2,1)),"")</x:f>
      </x:c>
      <x:c r="P49" s="54" t="str">
        <x:f>IF(AND(P$8&gt;='작업 관리'!$E49,P$8&lt;='작업 관리'!$F49),IF('작업 관리'!$I49="마일스톤",3,IF('작업 관리'!$G49="완료",2,1)),"")</x:f>
      </x:c>
      <x:c r="Q49" s="54" t="str">
        <x:f>IF(AND(Q$8&gt;='작업 관리'!$E49,Q$8&lt;='작업 관리'!$F49),IF('작업 관리'!$I49="마일스톤",3,IF('작업 관리'!$G49="완료",2,1)),"")</x:f>
      </x:c>
      <x:c r="R49" s="54" t="str">
        <x:f>IF(AND(R$8&gt;='작업 관리'!$E49,R$8&lt;='작업 관리'!$F49),IF('작업 관리'!$I49="마일스톤",3,IF('작업 관리'!$G49="완료",2,1)),"")</x:f>
      </x:c>
      <x:c r="S49" s="54" t="str">
        <x:f>IF(AND(S$8&gt;='작업 관리'!$E49,S$8&lt;='작업 관리'!$F49),IF('작업 관리'!$I49="마일스톤",3,IF('작업 관리'!$G49="완료",2,1)),"")</x:f>
      </x:c>
    </x:row>
    <x:row r="50" ht="48" customHeight="1">
      <x:c r="A50" s="83" t="str">
        <x:f>'작업 관리'!A50</x:f>
        <x:v>4.4</x:v>
      </x:c>
      <x:c r="B50" s="16" t="str">
        <x:f>'작업 관리'!C50</x:f>
        <x:v>뉴스 관련성과 누락 정답지</x:v>
      </x:c>
      <x:c r="C50" s="14" t="str">
        <x:f>'작업 관리'!D50</x:f>
        <x:v>최수인</x:v>
      </x:c>
      <x:c r="D50" s="55" t="str">
        <x:f>IF(AND(D$8&gt;='작업 관리'!$E50,D$8&lt;='작업 관리'!$F50),IF('작업 관리'!$I50="마일스톤",3,IF('작업 관리'!$G50="완료",2,1)),"")</x:f>
      </x:c>
      <x:c r="E50" s="55" t="str">
        <x:f>IF(AND(E$8&gt;='작업 관리'!$E50,E$8&lt;='작업 관리'!$F50),IF('작업 관리'!$I50="마일스톤",3,IF('작업 관리'!$G50="완료",2,1)),"")</x:f>
      </x:c>
      <x:c r="F50" s="55" t="str">
        <x:f>IF(AND(F$8&gt;='작업 관리'!$E50,F$8&lt;='작업 관리'!$F50),IF('작업 관리'!$I50="마일스톤",3,IF('작업 관리'!$G50="완료",2,1)),"")</x:f>
      </x:c>
      <x:c r="G50" s="56" t="str">
        <x:f>IF(AND(G$8&gt;='작업 관리'!$E50,G$8&lt;='작업 관리'!$F50),IF('작업 관리'!$I50="마일스톤",3,IF('작업 관리'!$G50="완료",2,1)),"")</x:f>
      </x:c>
      <x:c r="H50" s="56" t="str">
        <x:f>IF(AND(H$8&gt;='작업 관리'!$E50,H$8&lt;='작업 관리'!$F50),IF('작업 관리'!$I50="마일스톤",3,IF('작업 관리'!$G50="완료",2,1)),"")</x:f>
      </x:c>
      <x:c r="I50" s="55" t="str">
        <x:f>IF(AND(I$8&gt;='작업 관리'!$E50,I$8&lt;='작업 관리'!$F50),IF('작업 관리'!$I50="마일스톤",3,IF('작업 관리'!$G50="완료",2,1)),"")</x:f>
      </x:c>
      <x:c r="J50" s="55" t="str">
        <x:f>IF(AND(J$8&gt;='작업 관리'!$E50,J$8&lt;='작업 관리'!$F50),IF('작업 관리'!$I50="마일스톤",3,IF('작업 관리'!$G50="완료",2,1)),"")</x:f>
      </x:c>
      <x:c r="K50" s="55" t="str">
        <x:f>IF(AND(K$8&gt;='작업 관리'!$E50,K$8&lt;='작업 관리'!$F50),IF('작업 관리'!$I50="마일스톤",3,IF('작업 관리'!$G50="완료",2,1)),"")</x:f>
      </x:c>
      <x:c r="L50" s="55" t="n">
        <x:f>IF(AND(L$8&gt;='작업 관리'!$E50,L$8&lt;='작업 관리'!$F50),IF('작업 관리'!$I50="마일스톤",3,IF('작업 관리'!$G50="완료",2,1)),"")</x:f>
        <x:v>1</x:v>
      </x:c>
      <x:c r="M50" s="55" t="str">
        <x:f>IF(AND(M$8&gt;='작업 관리'!$E50,M$8&lt;='작업 관리'!$F50),IF('작업 관리'!$I50="마일스톤",3,IF('작업 관리'!$G50="완료",2,1)),"")</x:f>
      </x:c>
      <x:c r="N50" s="56" t="str">
        <x:f>IF(AND(N$8&gt;='작업 관리'!$E50,N$8&lt;='작업 관리'!$F50),IF('작업 관리'!$I50="마일스톤",3,IF('작업 관리'!$G50="완료",2,1)),"")</x:f>
      </x:c>
      <x:c r="O50" s="56" t="str">
        <x:f>IF(AND(O$8&gt;='작업 관리'!$E50,O$8&lt;='작업 관리'!$F50),IF('작업 관리'!$I50="마일스톤",3,IF('작업 관리'!$G50="완료",2,1)),"")</x:f>
      </x:c>
      <x:c r="P50" s="55" t="str">
        <x:f>IF(AND(P$8&gt;='작업 관리'!$E50,P$8&lt;='작업 관리'!$F50),IF('작업 관리'!$I50="마일스톤",3,IF('작업 관리'!$G50="완료",2,1)),"")</x:f>
      </x:c>
      <x:c r="Q50" s="55" t="str">
        <x:f>IF(AND(Q$8&gt;='작업 관리'!$E50,Q$8&lt;='작업 관리'!$F50),IF('작업 관리'!$I50="마일스톤",3,IF('작업 관리'!$G50="완료",2,1)),"")</x:f>
      </x:c>
      <x:c r="R50" s="55" t="str">
        <x:f>IF(AND(R$8&gt;='작업 관리'!$E50,R$8&lt;='작업 관리'!$F50),IF('작업 관리'!$I50="마일스톤",3,IF('작업 관리'!$G50="완료",2,1)),"")</x:f>
      </x:c>
      <x:c r="S50" s="55" t="str">
        <x:f>IF(AND(S$8&gt;='작업 관리'!$E50,S$8&lt;='작업 관리'!$F50),IF('작업 관리'!$I50="마일스톤",3,IF('작업 관리'!$G50="완료",2,1)),"")</x:f>
      </x:c>
    </x:row>
    <x:row r="51" ht="48" customHeight="1">
      <x:c r="A51" s="72" t="str">
        <x:f>'작업 관리'!A51</x:f>
        <x:v>4.6</x:v>
      </x:c>
      <x:c r="B51" s="15" t="str">
        <x:f>'작업 관리'!C51</x:f>
        <x:v>주석 요약과 원문 근거 화면 연결</x:v>
      </x:c>
      <x:c r="C51" s="2" t="str">
        <x:f>'작업 관리'!D51</x:f>
        <x:v>서종원</x:v>
      </x:c>
      <x:c r="D51" s="54" t="str">
        <x:f>IF(AND(D$8&gt;='작업 관리'!$E51,D$8&lt;='작업 관리'!$F51),IF('작업 관리'!$I51="마일스톤",3,IF('작업 관리'!$G51="완료",2,1)),"")</x:f>
      </x:c>
      <x:c r="E51" s="54" t="str">
        <x:f>IF(AND(E$8&gt;='작업 관리'!$E51,E$8&lt;='작업 관리'!$F51),IF('작업 관리'!$I51="마일스톤",3,IF('작업 관리'!$G51="완료",2,1)),"")</x:f>
      </x:c>
      <x:c r="F51" s="54" t="str">
        <x:f>IF(AND(F$8&gt;='작업 관리'!$E51,F$8&lt;='작업 관리'!$F51),IF('작업 관리'!$I51="마일스톤",3,IF('작업 관리'!$G51="완료",2,1)),"")</x:f>
      </x:c>
      <x:c r="G51" s="56" t="str">
        <x:f>IF(AND(G$8&gt;='작업 관리'!$E51,G$8&lt;='작업 관리'!$F51),IF('작업 관리'!$I51="마일스톤",3,IF('작업 관리'!$G51="완료",2,1)),"")</x:f>
      </x:c>
      <x:c r="H51" s="56" t="str">
        <x:f>IF(AND(H$8&gt;='작업 관리'!$E51,H$8&lt;='작업 관리'!$F51),IF('작업 관리'!$I51="마일스톤",3,IF('작업 관리'!$G51="완료",2,1)),"")</x:f>
      </x:c>
      <x:c r="I51" s="54" t="str">
        <x:f>IF(AND(I$8&gt;='작업 관리'!$E51,I$8&lt;='작업 관리'!$F51),IF('작업 관리'!$I51="마일스톤",3,IF('작업 관리'!$G51="완료",2,1)),"")</x:f>
      </x:c>
      <x:c r="J51" s="54" t="str">
        <x:f>IF(AND(J$8&gt;='작업 관리'!$E51,J$8&lt;='작업 관리'!$F51),IF('작업 관리'!$I51="마일스톤",3,IF('작업 관리'!$G51="완료",2,1)),"")</x:f>
      </x:c>
      <x:c r="K51" s="54" t="str">
        <x:f>IF(AND(K$8&gt;='작업 관리'!$E51,K$8&lt;='작업 관리'!$F51),IF('작업 관리'!$I51="마일스톤",3,IF('작업 관리'!$G51="완료",2,1)),"")</x:f>
      </x:c>
      <x:c r="L51" s="54" t="n">
        <x:f>IF(AND(L$8&gt;='작업 관리'!$E51,L$8&lt;='작업 관리'!$F51),IF('작업 관리'!$I51="마일스톤",3,IF('작업 관리'!$G51="완료",2,1)),"")</x:f>
        <x:v>1</x:v>
      </x:c>
      <x:c r="M51" s="54" t="n">
        <x:f>IF(AND(M$8&gt;='작업 관리'!$E51,M$8&lt;='작업 관리'!$F51),IF('작업 관리'!$I51="마일스톤",3,IF('작업 관리'!$G51="완료",2,1)),"")</x:f>
        <x:v>1</x:v>
      </x:c>
      <x:c r="N51" s="56" t="str">
        <x:f>IF(AND(N$8&gt;='작업 관리'!$E51,N$8&lt;='작업 관리'!$F51),IF('작업 관리'!$I51="마일스톤",3,IF('작업 관리'!$G51="완료",2,1)),"")</x:f>
      </x:c>
      <x:c r="O51" s="56" t="str">
        <x:f>IF(AND(O$8&gt;='작업 관리'!$E51,O$8&lt;='작업 관리'!$F51),IF('작업 관리'!$I51="마일스톤",3,IF('작업 관리'!$G51="완료",2,1)),"")</x:f>
      </x:c>
      <x:c r="P51" s="54" t="str">
        <x:f>IF(AND(P$8&gt;='작업 관리'!$E51,P$8&lt;='작업 관리'!$F51),IF('작업 관리'!$I51="마일스톤",3,IF('작업 관리'!$G51="완료",2,1)),"")</x:f>
      </x:c>
      <x:c r="Q51" s="54" t="str">
        <x:f>IF(AND(Q$8&gt;='작업 관리'!$E51,Q$8&lt;='작업 관리'!$F51),IF('작업 관리'!$I51="마일스톤",3,IF('작업 관리'!$G51="완료",2,1)),"")</x:f>
      </x:c>
      <x:c r="R51" s="54" t="str">
        <x:f>IF(AND(R$8&gt;='작업 관리'!$E51,R$8&lt;='작업 관리'!$F51),IF('작업 관리'!$I51="마일스톤",3,IF('작업 관리'!$G51="완료",2,1)),"")</x:f>
      </x:c>
      <x:c r="S51" s="54" t="str">
        <x:f>IF(AND(S$8&gt;='작업 관리'!$E51,S$8&lt;='작업 관리'!$F51),IF('작업 관리'!$I51="마일스톤",3,IF('작업 관리'!$G51="완료",2,1)),"")</x:f>
      </x:c>
    </x:row>
    <x:row r="52" ht="48" customHeight="1">
      <x:c r="A52" s="83" t="str">
        <x:f>'작업 관리'!A52</x:f>
        <x:v>4.10</x:v>
      </x:c>
      <x:c r="B52" s="16" t="str">
        <x:f>'작업 관리'!C52</x:f>
        <x:v>업종별 추출 정밀도·재현율·미검출 원인 검수</x:v>
      </x:c>
      <x:c r="C52" s="14" t="str">
        <x:f>'작업 관리'!D52</x:f>
        <x:v>최수인</x:v>
      </x:c>
      <x:c r="D52" s="55" t="str">
        <x:f>IF(AND(D$8&gt;='작업 관리'!$E52,D$8&lt;='작업 관리'!$F52),IF('작업 관리'!$I52="마일스톤",3,IF('작업 관리'!$G52="완료",2,1)),"")</x:f>
      </x:c>
      <x:c r="E52" s="55" t="str">
        <x:f>IF(AND(E$8&gt;='작업 관리'!$E52,E$8&lt;='작업 관리'!$F52),IF('작업 관리'!$I52="마일스톤",3,IF('작업 관리'!$G52="완료",2,1)),"")</x:f>
      </x:c>
      <x:c r="F52" s="55" t="str">
        <x:f>IF(AND(F$8&gt;='작업 관리'!$E52,F$8&lt;='작업 관리'!$F52),IF('작업 관리'!$I52="마일스톤",3,IF('작업 관리'!$G52="완료",2,1)),"")</x:f>
      </x:c>
      <x:c r="G52" s="56" t="str">
        <x:f>IF(AND(G$8&gt;='작업 관리'!$E52,G$8&lt;='작업 관리'!$F52),IF('작업 관리'!$I52="마일스톤",3,IF('작업 관리'!$G52="완료",2,1)),"")</x:f>
      </x:c>
      <x:c r="H52" s="56" t="str">
        <x:f>IF(AND(H$8&gt;='작업 관리'!$E52,H$8&lt;='작업 관리'!$F52),IF('작업 관리'!$I52="마일스톤",3,IF('작업 관리'!$G52="완료",2,1)),"")</x:f>
      </x:c>
      <x:c r="I52" s="55" t="str">
        <x:f>IF(AND(I$8&gt;='작업 관리'!$E52,I$8&lt;='작업 관리'!$F52),IF('작업 관리'!$I52="마일스톤",3,IF('작업 관리'!$G52="완료",2,1)),"")</x:f>
      </x:c>
      <x:c r="J52" s="55" t="str">
        <x:f>IF(AND(J$8&gt;='작업 관리'!$E52,J$8&lt;='작업 관리'!$F52),IF('작업 관리'!$I52="마일스톤",3,IF('작업 관리'!$G52="완료",2,1)),"")</x:f>
      </x:c>
      <x:c r="K52" s="55" t="str">
        <x:f>IF(AND(K$8&gt;='작업 관리'!$E52,K$8&lt;='작업 관리'!$F52),IF('작업 관리'!$I52="마일스톤",3,IF('작업 관리'!$G52="완료",2,1)),"")</x:f>
      </x:c>
      <x:c r="L52" s="55" t="n">
        <x:f>IF(AND(L$8&gt;='작업 관리'!$E52,L$8&lt;='작업 관리'!$F52),IF('작업 관리'!$I52="마일스톤",3,IF('작업 관리'!$G52="완료",2,1)),"")</x:f>
        <x:v>1</x:v>
      </x:c>
      <x:c r="M52" s="55" t="n">
        <x:f>IF(AND(M$8&gt;='작업 관리'!$E52,M$8&lt;='작업 관리'!$F52),IF('작업 관리'!$I52="마일스톤",3,IF('작업 관리'!$G52="완료",2,1)),"")</x:f>
        <x:v>1</x:v>
      </x:c>
      <x:c r="N52" s="56" t="str">
        <x:f>IF(AND(N$8&gt;='작업 관리'!$E52,N$8&lt;='작업 관리'!$F52),IF('작업 관리'!$I52="마일스톤",3,IF('작업 관리'!$G52="완료",2,1)),"")</x:f>
      </x:c>
      <x:c r="O52" s="56" t="str">
        <x:f>IF(AND(O$8&gt;='작업 관리'!$E52,O$8&lt;='작업 관리'!$F52),IF('작업 관리'!$I52="마일스톤",3,IF('작업 관리'!$G52="완료",2,1)),"")</x:f>
      </x:c>
      <x:c r="P52" s="55" t="str">
        <x:f>IF(AND(P$8&gt;='작업 관리'!$E52,P$8&lt;='작업 관리'!$F52),IF('작업 관리'!$I52="마일스톤",3,IF('작업 관리'!$G52="완료",2,1)),"")</x:f>
      </x:c>
      <x:c r="Q52" s="55" t="str">
        <x:f>IF(AND(Q$8&gt;='작업 관리'!$E52,Q$8&lt;='작업 관리'!$F52),IF('작업 관리'!$I52="마일스톤",3,IF('작업 관리'!$G52="완료",2,1)),"")</x:f>
      </x:c>
      <x:c r="R52" s="55" t="str">
        <x:f>IF(AND(R$8&gt;='작업 관리'!$E52,R$8&lt;='작업 관리'!$F52),IF('작업 관리'!$I52="마일스톤",3,IF('작업 관리'!$G52="완료",2,1)),"")</x:f>
      </x:c>
      <x:c r="S52" s="55" t="str">
        <x:f>IF(AND(S$8&gt;='작업 관리'!$E52,S$8&lt;='작업 관리'!$F52),IF('작업 관리'!$I52="마일스톤",3,IF('작업 관리'!$G52="완료",2,1)),"")</x:f>
      </x:c>
    </x:row>
    <x:row r="53" ht="48" customHeight="1">
      <x:c r="A53" s="72" t="str">
        <x:f>'작업 관리'!A53</x:f>
        <x:v>4.7</x:v>
      </x:c>
      <x:c r="B53" s="15" t="str">
        <x:f>'작업 관리'!C53</x:f>
        <x:v>관련 뉴스 요약과 원문 링크 보완</x:v>
      </x:c>
      <x:c r="C53" s="2" t="str">
        <x:f>'작업 관리'!D53</x:f>
        <x:v>서종원</x:v>
      </x:c>
      <x:c r="D53" s="54" t="str">
        <x:f>IF(AND(D$8&gt;='작업 관리'!$E53,D$8&lt;='작업 관리'!$F53),IF('작업 관리'!$I53="마일스톤",3,IF('작업 관리'!$G53="완료",2,1)),"")</x:f>
      </x:c>
      <x:c r="E53" s="54" t="str">
        <x:f>IF(AND(E$8&gt;='작업 관리'!$E53,E$8&lt;='작업 관리'!$F53),IF('작업 관리'!$I53="마일스톤",3,IF('작업 관리'!$G53="완료",2,1)),"")</x:f>
      </x:c>
      <x:c r="F53" s="54" t="str">
        <x:f>IF(AND(F$8&gt;='작업 관리'!$E53,F$8&lt;='작업 관리'!$F53),IF('작업 관리'!$I53="마일스톤",3,IF('작업 관리'!$G53="완료",2,1)),"")</x:f>
      </x:c>
      <x:c r="G53" s="56" t="str">
        <x:f>IF(AND(G$8&gt;='작업 관리'!$E53,G$8&lt;='작업 관리'!$F53),IF('작업 관리'!$I53="마일스톤",3,IF('작업 관리'!$G53="완료",2,1)),"")</x:f>
      </x:c>
      <x:c r="H53" s="56" t="str">
        <x:f>IF(AND(H$8&gt;='작업 관리'!$E53,H$8&lt;='작업 관리'!$F53),IF('작업 관리'!$I53="마일스톤",3,IF('작업 관리'!$G53="완료",2,1)),"")</x:f>
      </x:c>
      <x:c r="I53" s="54" t="str">
        <x:f>IF(AND(I$8&gt;='작업 관리'!$E53,I$8&lt;='작업 관리'!$F53),IF('작업 관리'!$I53="마일스톤",3,IF('작업 관리'!$G53="완료",2,1)),"")</x:f>
      </x:c>
      <x:c r="J53" s="54" t="str">
        <x:f>IF(AND(J$8&gt;='작업 관리'!$E53,J$8&lt;='작업 관리'!$F53),IF('작업 관리'!$I53="마일스톤",3,IF('작업 관리'!$G53="완료",2,1)),"")</x:f>
      </x:c>
      <x:c r="K53" s="54" t="str">
        <x:f>IF(AND(K$8&gt;='작업 관리'!$E53,K$8&lt;='작업 관리'!$F53),IF('작업 관리'!$I53="마일스톤",3,IF('작업 관리'!$G53="완료",2,1)),"")</x:f>
      </x:c>
      <x:c r="L53" s="54" t="str">
        <x:f>IF(AND(L$8&gt;='작업 관리'!$E53,L$8&lt;='작업 관리'!$F53),IF('작업 관리'!$I53="마일스톤",3,IF('작업 관리'!$G53="완료",2,1)),"")</x:f>
      </x:c>
      <x:c r="M53" s="54" t="n">
        <x:f>IF(AND(M$8&gt;='작업 관리'!$E53,M$8&lt;='작업 관리'!$F53),IF('작업 관리'!$I53="마일스톤",3,IF('작업 관리'!$G53="완료",2,1)),"")</x:f>
        <x:v>1</x:v>
      </x:c>
      <x:c r="N53" s="56" t="str">
        <x:f>IF(AND(N$8&gt;='작업 관리'!$E53,N$8&lt;='작업 관리'!$F53),IF('작업 관리'!$I53="마일스톤",3,IF('작업 관리'!$G53="완료",2,1)),"")</x:f>
      </x:c>
      <x:c r="O53" s="56" t="str">
        <x:f>IF(AND(O$8&gt;='작업 관리'!$E53,O$8&lt;='작업 관리'!$F53),IF('작업 관리'!$I53="마일스톤",3,IF('작업 관리'!$G53="완료",2,1)),"")</x:f>
      </x:c>
      <x:c r="P53" s="54" t="str">
        <x:f>IF(AND(P$8&gt;='작업 관리'!$E53,P$8&lt;='작업 관리'!$F53),IF('작업 관리'!$I53="마일스톤",3,IF('작업 관리'!$G53="완료",2,1)),"")</x:f>
      </x:c>
      <x:c r="Q53" s="54" t="str">
        <x:f>IF(AND(Q$8&gt;='작업 관리'!$E53,Q$8&lt;='작업 관리'!$F53),IF('작업 관리'!$I53="마일스톤",3,IF('작업 관리'!$G53="완료",2,1)),"")</x:f>
      </x:c>
      <x:c r="R53" s="54" t="str">
        <x:f>IF(AND(R$8&gt;='작업 관리'!$E53,R$8&lt;='작업 관리'!$F53),IF('작업 관리'!$I53="마일스톤",3,IF('작업 관리'!$G53="완료",2,1)),"")</x:f>
      </x:c>
      <x:c r="S53" s="54" t="str">
        <x:f>IF(AND(S$8&gt;='작업 관리'!$E53,S$8&lt;='작업 관리'!$F53),IF('작업 관리'!$I53="마일스톤",3,IF('작업 관리'!$G53="완료",2,1)),"")</x:f>
      </x:c>
    </x:row>
    <x:row r="54" ht="48" customHeight="1">
      <x:c r="A54" s="83" t="str">
        <x:f>'작업 관리'!A54</x:f>
        <x:v>4.M3</x:v>
      </x:c>
      <x:c r="B54" s="16" t="str">
        <x:f>'작업 관리'!C54</x:f>
        <x:v>주석 요약 검증과 제공 형식 확정</x:v>
      </x:c>
      <x:c r="C54" s="14" t="str">
        <x:f>'작업 관리'!D54</x:f>
        <x:v>김동혁</x:v>
      </x:c>
      <x:c r="D54" s="55" t="str">
        <x:f>IF(AND(D$8&gt;='작업 관리'!$E54,D$8&lt;='작업 관리'!$F54),IF('작업 관리'!$I54="마일스톤",3,IF('작업 관리'!$G54="완료",2,1)),"")</x:f>
      </x:c>
      <x:c r="E54" s="55" t="str">
        <x:f>IF(AND(E$8&gt;='작업 관리'!$E54,E$8&lt;='작업 관리'!$F54),IF('작업 관리'!$I54="마일스톤",3,IF('작업 관리'!$G54="완료",2,1)),"")</x:f>
      </x:c>
      <x:c r="F54" s="55" t="str">
        <x:f>IF(AND(F$8&gt;='작업 관리'!$E54,F$8&lt;='작업 관리'!$F54),IF('작업 관리'!$I54="마일스톤",3,IF('작업 관리'!$G54="완료",2,1)),"")</x:f>
      </x:c>
      <x:c r="G54" s="56" t="str">
        <x:f>IF(AND(G$8&gt;='작업 관리'!$E54,G$8&lt;='작업 관리'!$F54),IF('작업 관리'!$I54="마일스톤",3,IF('작업 관리'!$G54="완료",2,1)),"")</x:f>
      </x:c>
      <x:c r="H54" s="56" t="str">
        <x:f>IF(AND(H$8&gt;='작업 관리'!$E54,H$8&lt;='작업 관리'!$F54),IF('작업 관리'!$I54="마일스톤",3,IF('작업 관리'!$G54="완료",2,1)),"")</x:f>
      </x:c>
      <x:c r="I54" s="55" t="str">
        <x:f>IF(AND(I$8&gt;='작업 관리'!$E54,I$8&lt;='작업 관리'!$F54),IF('작업 관리'!$I54="마일스톤",3,IF('작업 관리'!$G54="완료",2,1)),"")</x:f>
      </x:c>
      <x:c r="J54" s="55" t="str">
        <x:f>IF(AND(J$8&gt;='작업 관리'!$E54,J$8&lt;='작업 관리'!$F54),IF('작업 관리'!$I54="마일스톤",3,IF('작업 관리'!$G54="완료",2,1)),"")</x:f>
      </x:c>
      <x:c r="K54" s="55" t="str">
        <x:f>IF(AND(K$8&gt;='작업 관리'!$E54,K$8&lt;='작업 관리'!$F54),IF('작업 관리'!$I54="마일스톤",3,IF('작업 관리'!$G54="완료",2,1)),"")</x:f>
      </x:c>
      <x:c r="L54" s="55" t="str">
        <x:f>IF(AND(L$8&gt;='작업 관리'!$E54,L$8&lt;='작업 관리'!$F54),IF('작업 관리'!$I54="마일스톤",3,IF('작업 관리'!$G54="완료",2,1)),"")</x:f>
      </x:c>
      <x:c r="M54" s="55" t="n">
        <x:f>IF(AND(M$8&gt;='작업 관리'!$E54,M$8&lt;='작업 관리'!$F54),IF('작업 관리'!$I54="마일스톤",3,IF('작업 관리'!$G54="완료",2,1)),"")</x:f>
        <x:v>3</x:v>
      </x:c>
      <x:c r="N54" s="56" t="str">
        <x:f>IF(AND(N$8&gt;='작업 관리'!$E54,N$8&lt;='작업 관리'!$F54),IF('작업 관리'!$I54="마일스톤",3,IF('작업 관리'!$G54="완료",2,1)),"")</x:f>
      </x:c>
      <x:c r="O54" s="56" t="str">
        <x:f>IF(AND(O$8&gt;='작업 관리'!$E54,O$8&lt;='작업 관리'!$F54),IF('작업 관리'!$I54="마일스톤",3,IF('작업 관리'!$G54="완료",2,1)),"")</x:f>
      </x:c>
      <x:c r="P54" s="55" t="str">
        <x:f>IF(AND(P$8&gt;='작업 관리'!$E54,P$8&lt;='작업 관리'!$F54),IF('작업 관리'!$I54="마일스톤",3,IF('작업 관리'!$G54="완료",2,1)),"")</x:f>
      </x:c>
      <x:c r="Q54" s="55" t="str">
        <x:f>IF(AND(Q$8&gt;='작업 관리'!$E54,Q$8&lt;='작업 관리'!$F54),IF('작업 관리'!$I54="마일스톤",3,IF('작업 관리'!$G54="완료",2,1)),"")</x:f>
      </x:c>
      <x:c r="R54" s="55" t="str">
        <x:f>IF(AND(R$8&gt;='작업 관리'!$E54,R$8&lt;='작업 관리'!$F54),IF('작업 관리'!$I54="마일스톤",3,IF('작업 관리'!$G54="완료",2,1)),"")</x:f>
      </x:c>
      <x:c r="S54" s="55" t="str">
        <x:f>IF(AND(S$8&gt;='작업 관리'!$E54,S$8&lt;='작업 관리'!$F54),IF('작업 관리'!$I54="마일스톤",3,IF('작업 관리'!$G54="완료",2,1)),"")</x:f>
      </x:c>
    </x:row>
    <x:row r="55" ht="48" customHeight="1">
      <x:c r="A55" s="72" t="str">
        <x:f>'작업 관리'!A55</x:f>
        <x:v>7.1</x:v>
      </x:c>
      <x:c r="B55" s="15" t="str">
        <x:f>'작업 관리'!C55</x:f>
        <x:v>재무지표 기준 모델 학습</x:v>
      </x:c>
      <x:c r="C55" s="2" t="str">
        <x:f>'작업 관리'!D55</x:f>
        <x:v>김동민</x:v>
      </x:c>
      <x:c r="D55" s="54" t="str">
        <x:f>IF(AND(D$8&gt;='작업 관리'!$E55,D$8&lt;='작업 관리'!$F55),IF('작업 관리'!$I55="마일스톤",3,IF('작업 관리'!$G55="완료",2,1)),"")</x:f>
      </x:c>
      <x:c r="E55" s="54" t="str">
        <x:f>IF(AND(E$8&gt;='작업 관리'!$E55,E$8&lt;='작업 관리'!$F55),IF('작업 관리'!$I55="마일스톤",3,IF('작업 관리'!$G55="완료",2,1)),"")</x:f>
      </x:c>
      <x:c r="F55" s="54" t="str">
        <x:f>IF(AND(F$8&gt;='작업 관리'!$E55,F$8&lt;='작업 관리'!$F55),IF('작업 관리'!$I55="마일스톤",3,IF('작업 관리'!$G55="완료",2,1)),"")</x:f>
      </x:c>
      <x:c r="G55" s="56" t="str">
        <x:f>IF(AND(G$8&gt;='작업 관리'!$E55,G$8&lt;='작업 관리'!$F55),IF('작업 관리'!$I55="마일스톤",3,IF('작업 관리'!$G55="완료",2,1)),"")</x:f>
      </x:c>
      <x:c r="H55" s="56" t="str">
        <x:f>IF(AND(H$8&gt;='작업 관리'!$E55,H$8&lt;='작업 관리'!$F55),IF('작업 관리'!$I55="마일스톤",3,IF('작업 관리'!$G55="완료",2,1)),"")</x:f>
      </x:c>
      <x:c r="I55" s="54" t="n">
        <x:f>IF(AND(I$8&gt;='작업 관리'!$E55,I$8&lt;='작업 관리'!$F55),IF('작업 관리'!$I55="마일스톤",3,IF('작업 관리'!$G55="완료",2,1)),"")</x:f>
        <x:v>1</x:v>
      </x:c>
      <x:c r="J55" s="54" t="str">
        <x:f>IF(AND(J$8&gt;='작업 관리'!$E55,J$8&lt;='작업 관리'!$F55),IF('작업 관리'!$I55="마일스톤",3,IF('작업 관리'!$G55="완료",2,1)),"")</x:f>
      </x:c>
      <x:c r="K55" s="54" t="str">
        <x:f>IF(AND(K$8&gt;='작업 관리'!$E55,K$8&lt;='작업 관리'!$F55),IF('작업 관리'!$I55="마일스톤",3,IF('작업 관리'!$G55="완료",2,1)),"")</x:f>
      </x:c>
      <x:c r="L55" s="54" t="str">
        <x:f>IF(AND(L$8&gt;='작업 관리'!$E55,L$8&lt;='작업 관리'!$F55),IF('작업 관리'!$I55="마일스톤",3,IF('작업 관리'!$G55="완료",2,1)),"")</x:f>
      </x:c>
      <x:c r="M55" s="54" t="str">
        <x:f>IF(AND(M$8&gt;='작업 관리'!$E55,M$8&lt;='작업 관리'!$F55),IF('작업 관리'!$I55="마일스톤",3,IF('작업 관리'!$G55="완료",2,1)),"")</x:f>
      </x:c>
      <x:c r="N55" s="56" t="str">
        <x:f>IF(AND(N$8&gt;='작업 관리'!$E55,N$8&lt;='작업 관리'!$F55),IF('작업 관리'!$I55="마일스톤",3,IF('작업 관리'!$G55="완료",2,1)),"")</x:f>
      </x:c>
      <x:c r="O55" s="56" t="str">
        <x:f>IF(AND(O$8&gt;='작업 관리'!$E55,O$8&lt;='작업 관리'!$F55),IF('작업 관리'!$I55="마일스톤",3,IF('작업 관리'!$G55="완료",2,1)),"")</x:f>
      </x:c>
      <x:c r="P55" s="54" t="str">
        <x:f>IF(AND(P$8&gt;='작업 관리'!$E55,P$8&lt;='작업 관리'!$F55),IF('작업 관리'!$I55="마일스톤",3,IF('작업 관리'!$G55="완료",2,1)),"")</x:f>
      </x:c>
      <x:c r="Q55" s="54" t="str">
        <x:f>IF(AND(Q$8&gt;='작업 관리'!$E55,Q$8&lt;='작업 관리'!$F55),IF('작업 관리'!$I55="마일스톤",3,IF('작업 관리'!$G55="완료",2,1)),"")</x:f>
      </x:c>
      <x:c r="R55" s="54" t="str">
        <x:f>IF(AND(R$8&gt;='작업 관리'!$E55,R$8&lt;='작업 관리'!$F55),IF('작업 관리'!$I55="마일스톤",3,IF('작업 관리'!$G55="완료",2,1)),"")</x:f>
      </x:c>
      <x:c r="S55" s="54" t="str">
        <x:f>IF(AND(S$8&gt;='작업 관리'!$E55,S$8&lt;='작업 관리'!$F55),IF('작업 관리'!$I55="마일스톤",3,IF('작업 관리'!$G55="완료",2,1)),"")</x:f>
      </x:c>
    </x:row>
    <x:row r="56" ht="48" customHeight="1">
      <x:c r="A56" s="83" t="str">
        <x:f>'작업 관리'!A56</x:f>
        <x:v>7.3</x:v>
      </x:c>
      <x:c r="B56" s="16" t="str">
        <x:f>'작업 관리'!C56</x:f>
        <x:v>주석 위험 항목의 수치 변수화</x:v>
      </x:c>
      <x:c r="C56" s="14" t="str">
        <x:f>'작업 관리'!D56</x:f>
        <x:v>김동민</x:v>
      </x:c>
      <x:c r="D56" s="55" t="str">
        <x:f>IF(AND(D$8&gt;='작업 관리'!$E56,D$8&lt;='작업 관리'!$F56),IF('작업 관리'!$I56="마일스톤",3,IF('작업 관리'!$G56="완료",2,1)),"")</x:f>
      </x:c>
      <x:c r="E56" s="55" t="str">
        <x:f>IF(AND(E$8&gt;='작업 관리'!$E56,E$8&lt;='작업 관리'!$F56),IF('작업 관리'!$I56="마일스톤",3,IF('작업 관리'!$G56="완료",2,1)),"")</x:f>
      </x:c>
      <x:c r="F56" s="55" t="str">
        <x:f>IF(AND(F$8&gt;='작업 관리'!$E56,F$8&lt;='작업 관리'!$F56),IF('작업 관리'!$I56="마일스톤",3,IF('작업 관리'!$G56="완료",2,1)),"")</x:f>
      </x:c>
      <x:c r="G56" s="56" t="str">
        <x:f>IF(AND(G$8&gt;='작업 관리'!$E56,G$8&lt;='작업 관리'!$F56),IF('작업 관리'!$I56="마일스톤",3,IF('작업 관리'!$G56="완료",2,1)),"")</x:f>
      </x:c>
      <x:c r="H56" s="56" t="str">
        <x:f>IF(AND(H$8&gt;='작업 관리'!$E56,H$8&lt;='작업 관리'!$F56),IF('작업 관리'!$I56="마일스톤",3,IF('작업 관리'!$G56="완료",2,1)),"")</x:f>
      </x:c>
      <x:c r="I56" s="55" t="str">
        <x:f>IF(AND(I$8&gt;='작업 관리'!$E56,I$8&lt;='작업 관리'!$F56),IF('작업 관리'!$I56="마일스톤",3,IF('작업 관리'!$G56="완료",2,1)),"")</x:f>
      </x:c>
      <x:c r="J56" s="55" t="str">
        <x:f>IF(AND(J$8&gt;='작업 관리'!$E56,J$8&lt;='작업 관리'!$F56),IF('작업 관리'!$I56="마일스톤",3,IF('작업 관리'!$G56="완료",2,1)),"")</x:f>
      </x:c>
      <x:c r="K56" s="55" t="n">
        <x:f>IF(AND(K$8&gt;='작업 관리'!$E56,K$8&lt;='작업 관리'!$F56),IF('작업 관리'!$I56="마일스톤",3,IF('작업 관리'!$G56="완료",2,1)),"")</x:f>
        <x:v>1</x:v>
      </x:c>
      <x:c r="L56" s="55" t="str">
        <x:f>IF(AND(L$8&gt;='작업 관리'!$E56,L$8&lt;='작업 관리'!$F56),IF('작업 관리'!$I56="마일스톤",3,IF('작업 관리'!$G56="완료",2,1)),"")</x:f>
      </x:c>
      <x:c r="M56" s="55" t="str">
        <x:f>IF(AND(M$8&gt;='작업 관리'!$E56,M$8&lt;='작업 관리'!$F56),IF('작업 관리'!$I56="마일스톤",3,IF('작업 관리'!$G56="완료",2,1)),"")</x:f>
      </x:c>
      <x:c r="N56" s="56" t="str">
        <x:f>IF(AND(N$8&gt;='작업 관리'!$E56,N$8&lt;='작업 관리'!$F56),IF('작업 관리'!$I56="마일스톤",3,IF('작업 관리'!$G56="완료",2,1)),"")</x:f>
      </x:c>
      <x:c r="O56" s="56" t="str">
        <x:f>IF(AND(O$8&gt;='작업 관리'!$E56,O$8&lt;='작업 관리'!$F56),IF('작업 관리'!$I56="마일스톤",3,IF('작업 관리'!$G56="완료",2,1)),"")</x:f>
      </x:c>
      <x:c r="P56" s="55" t="str">
        <x:f>IF(AND(P$8&gt;='작업 관리'!$E56,P$8&lt;='작업 관리'!$F56),IF('작업 관리'!$I56="마일스톤",3,IF('작업 관리'!$G56="완료",2,1)),"")</x:f>
      </x:c>
      <x:c r="Q56" s="55" t="str">
        <x:f>IF(AND(Q$8&gt;='작업 관리'!$E56,Q$8&lt;='작업 관리'!$F56),IF('작업 관리'!$I56="마일스톤",3,IF('작업 관리'!$G56="완료",2,1)),"")</x:f>
      </x:c>
      <x:c r="R56" s="55" t="str">
        <x:f>IF(AND(R$8&gt;='작업 관리'!$E56,R$8&lt;='작업 관리'!$F56),IF('작업 관리'!$I56="마일스톤",3,IF('작업 관리'!$G56="완료",2,1)),"")</x:f>
      </x:c>
      <x:c r="S56" s="55" t="str">
        <x:f>IF(AND(S$8&gt;='작업 관리'!$E56,S$8&lt;='작업 관리'!$F56),IF('작업 관리'!$I56="마일스톤",3,IF('작업 관리'!$G56="완료",2,1)),"")</x:f>
      </x:c>
    </x:row>
    <x:row r="57" ht="48" customHeight="1">
      <x:c r="A57" s="72" t="str">
        <x:f>'작업 관리'!A57</x:f>
        <x:v>7.4</x:v>
      </x:c>
      <x:c r="B57" s="15" t="str">
        <x:f>'작업 관리'!C57</x:f>
        <x:v>재무·주석 결합 위험 사건 모델 학습</x:v>
      </x:c>
      <x:c r="C57" s="2" t="str">
        <x:f>'작업 관리'!D57</x:f>
        <x:v>김동민</x:v>
      </x:c>
      <x:c r="D57" s="54" t="str">
        <x:f>IF(AND(D$8&gt;='작업 관리'!$E57,D$8&lt;='작업 관리'!$F57),IF('작업 관리'!$I57="마일스톤",3,IF('작업 관리'!$G57="완료",2,1)),"")</x:f>
      </x:c>
      <x:c r="E57" s="54" t="str">
        <x:f>IF(AND(E$8&gt;='작업 관리'!$E57,E$8&lt;='작업 관리'!$F57),IF('작업 관리'!$I57="마일스톤",3,IF('작업 관리'!$G57="완료",2,1)),"")</x:f>
      </x:c>
      <x:c r="F57" s="54" t="str">
        <x:f>IF(AND(F$8&gt;='작업 관리'!$E57,F$8&lt;='작업 관리'!$F57),IF('작업 관리'!$I57="마일스톤",3,IF('작업 관리'!$G57="완료",2,1)),"")</x:f>
      </x:c>
      <x:c r="G57" s="56" t="str">
        <x:f>IF(AND(G$8&gt;='작업 관리'!$E57,G$8&lt;='작업 관리'!$F57),IF('작업 관리'!$I57="마일스톤",3,IF('작업 관리'!$G57="완료",2,1)),"")</x:f>
      </x:c>
      <x:c r="H57" s="56" t="str">
        <x:f>IF(AND(H$8&gt;='작업 관리'!$E57,H$8&lt;='작업 관리'!$F57),IF('작업 관리'!$I57="마일스톤",3,IF('작업 관리'!$G57="완료",2,1)),"")</x:f>
      </x:c>
      <x:c r="I57" s="54" t="str">
        <x:f>IF(AND(I$8&gt;='작업 관리'!$E57,I$8&lt;='작업 관리'!$F57),IF('작업 관리'!$I57="마일스톤",3,IF('작업 관리'!$G57="완료",2,1)),"")</x:f>
      </x:c>
      <x:c r="J57" s="54" t="str">
        <x:f>IF(AND(J$8&gt;='작업 관리'!$E57,J$8&lt;='작업 관리'!$F57),IF('작업 관리'!$I57="마일스톤",3,IF('작업 관리'!$G57="완료",2,1)),"")</x:f>
      </x:c>
      <x:c r="K57" s="54" t="n">
        <x:f>IF(AND(K$8&gt;='작업 관리'!$E57,K$8&lt;='작업 관리'!$F57),IF('작업 관리'!$I57="마일스톤",3,IF('작업 관리'!$G57="완료",2,1)),"")</x:f>
        <x:v>1</x:v>
      </x:c>
      <x:c r="L57" s="54" t="n">
        <x:f>IF(AND(L$8&gt;='작업 관리'!$E57,L$8&lt;='작업 관리'!$F57),IF('작업 관리'!$I57="마일스톤",3,IF('작업 관리'!$G57="완료",2,1)),"")</x:f>
        <x:v>1</x:v>
      </x:c>
      <x:c r="M57" s="54" t="str">
        <x:f>IF(AND(M$8&gt;='작업 관리'!$E57,M$8&lt;='작업 관리'!$F57),IF('작업 관리'!$I57="마일스톤",3,IF('작업 관리'!$G57="완료",2,1)),"")</x:f>
      </x:c>
      <x:c r="N57" s="56" t="str">
        <x:f>IF(AND(N$8&gt;='작업 관리'!$E57,N$8&lt;='작업 관리'!$F57),IF('작업 관리'!$I57="마일스톤",3,IF('작업 관리'!$G57="완료",2,1)),"")</x:f>
      </x:c>
      <x:c r="O57" s="56" t="str">
        <x:f>IF(AND(O$8&gt;='작업 관리'!$E57,O$8&lt;='작업 관리'!$F57),IF('작업 관리'!$I57="마일스톤",3,IF('작업 관리'!$G57="완료",2,1)),"")</x:f>
      </x:c>
      <x:c r="P57" s="54" t="str">
        <x:f>IF(AND(P$8&gt;='작업 관리'!$E57,P$8&lt;='작업 관리'!$F57),IF('작업 관리'!$I57="마일스톤",3,IF('작업 관리'!$G57="완료",2,1)),"")</x:f>
      </x:c>
      <x:c r="Q57" s="54" t="str">
        <x:f>IF(AND(Q$8&gt;='작업 관리'!$E57,Q$8&lt;='작업 관리'!$F57),IF('작업 관리'!$I57="마일스톤",3,IF('작업 관리'!$G57="완료",2,1)),"")</x:f>
      </x:c>
      <x:c r="R57" s="54" t="str">
        <x:f>IF(AND(R$8&gt;='작업 관리'!$E57,R$8&lt;='작업 관리'!$F57),IF('작업 관리'!$I57="마일스톤",3,IF('작업 관리'!$G57="완료",2,1)),"")</x:f>
      </x:c>
      <x:c r="S57" s="54" t="str">
        <x:f>IF(AND(S$8&gt;='작업 관리'!$E57,S$8&lt;='작업 관리'!$F57),IF('작업 관리'!$I57="마일스톤",3,IF('작업 관리'!$G57="완료",2,1)),"")</x:f>
      </x:c>
    </x:row>
    <x:row r="58" ht="48" customHeight="1">
      <x:c r="A58" s="83" t="str">
        <x:f>'작업 관리'!A58</x:f>
        <x:v>7.5</x:v>
      </x:c>
      <x:c r="B58" s="16" t="str">
        <x:f>'작업 관리'!C58</x:f>
        <x:v>모델 비교와 예측 확률 보정</x:v>
      </x:c>
      <x:c r="C58" s="14" t="str">
        <x:f>'작업 관리'!D58</x:f>
        <x:v>김동민</x:v>
      </x:c>
      <x:c r="D58" s="55" t="str">
        <x:f>IF(AND(D$8&gt;='작업 관리'!$E58,D$8&lt;='작업 관리'!$F58),IF('작업 관리'!$I58="마일스톤",3,IF('작업 관리'!$G58="완료",2,1)),"")</x:f>
      </x:c>
      <x:c r="E58" s="55" t="str">
        <x:f>IF(AND(E$8&gt;='작업 관리'!$E58,E$8&lt;='작업 관리'!$F58),IF('작업 관리'!$I58="마일스톤",3,IF('작업 관리'!$G58="완료",2,1)),"")</x:f>
      </x:c>
      <x:c r="F58" s="55" t="str">
        <x:f>IF(AND(F$8&gt;='작업 관리'!$E58,F$8&lt;='작업 관리'!$F58),IF('작업 관리'!$I58="마일스톤",3,IF('작업 관리'!$G58="완료",2,1)),"")</x:f>
      </x:c>
      <x:c r="G58" s="56" t="str">
        <x:f>IF(AND(G$8&gt;='작업 관리'!$E58,G$8&lt;='작업 관리'!$F58),IF('작업 관리'!$I58="마일스톤",3,IF('작업 관리'!$G58="완료",2,1)),"")</x:f>
      </x:c>
      <x:c r="H58" s="56" t="str">
        <x:f>IF(AND(H$8&gt;='작업 관리'!$E58,H$8&lt;='작업 관리'!$F58),IF('작업 관리'!$I58="마일스톤",3,IF('작업 관리'!$G58="완료",2,1)),"")</x:f>
      </x:c>
      <x:c r="I58" s="55" t="str">
        <x:f>IF(AND(I$8&gt;='작업 관리'!$E58,I$8&lt;='작업 관리'!$F58),IF('작업 관리'!$I58="마일스톤",3,IF('작업 관리'!$G58="완료",2,1)),"")</x:f>
      </x:c>
      <x:c r="J58" s="55" t="str">
        <x:f>IF(AND(J$8&gt;='작업 관리'!$E58,J$8&lt;='작업 관리'!$F58),IF('작업 관리'!$I58="마일스톤",3,IF('작업 관리'!$G58="완료",2,1)),"")</x:f>
      </x:c>
      <x:c r="K58" s="55" t="str">
        <x:f>IF(AND(K$8&gt;='작업 관리'!$E58,K$8&lt;='작업 관리'!$F58),IF('작업 관리'!$I58="마일스톤",3,IF('작업 관리'!$G58="완료",2,1)),"")</x:f>
      </x:c>
      <x:c r="L58" s="55" t="n">
        <x:f>IF(AND(L$8&gt;='작업 관리'!$E58,L$8&lt;='작업 관리'!$F58),IF('작업 관리'!$I58="마일스톤",3,IF('작업 관리'!$G58="완료",2,1)),"")</x:f>
        <x:v>1</x:v>
      </x:c>
      <x:c r="M58" s="55" t="n">
        <x:f>IF(AND(M$8&gt;='작업 관리'!$E58,M$8&lt;='작업 관리'!$F58),IF('작업 관리'!$I58="마일스톤",3,IF('작업 관리'!$G58="완료",2,1)),"")</x:f>
        <x:v>1</x:v>
      </x:c>
      <x:c r="N58" s="56" t="str">
        <x:f>IF(AND(N$8&gt;='작업 관리'!$E58,N$8&lt;='작업 관리'!$F58),IF('작업 관리'!$I58="마일스톤",3,IF('작업 관리'!$G58="완료",2,1)),"")</x:f>
      </x:c>
      <x:c r="O58" s="56" t="str">
        <x:f>IF(AND(O$8&gt;='작업 관리'!$E58,O$8&lt;='작업 관리'!$F58),IF('작업 관리'!$I58="마일스톤",3,IF('작업 관리'!$G58="완료",2,1)),"")</x:f>
      </x:c>
      <x:c r="P58" s="55" t="str">
        <x:f>IF(AND(P$8&gt;='작업 관리'!$E58,P$8&lt;='작업 관리'!$F58),IF('작업 관리'!$I58="마일스톤",3,IF('작업 관리'!$G58="완료",2,1)),"")</x:f>
      </x:c>
      <x:c r="Q58" s="55" t="str">
        <x:f>IF(AND(Q$8&gt;='작업 관리'!$E58,Q$8&lt;='작업 관리'!$F58),IF('작업 관리'!$I58="마일스톤",3,IF('작업 관리'!$G58="완료",2,1)),"")</x:f>
      </x:c>
      <x:c r="R58" s="55" t="str">
        <x:f>IF(AND(R$8&gt;='작업 관리'!$E58,R$8&lt;='작업 관리'!$F58),IF('작업 관리'!$I58="마일스톤",3,IF('작업 관리'!$G58="완료",2,1)),"")</x:f>
      </x:c>
      <x:c r="S58" s="55" t="str">
        <x:f>IF(AND(S$8&gt;='작업 관리'!$E58,S$8&lt;='작업 관리'!$F58),IF('작업 관리'!$I58="마일스톤",3,IF('작업 관리'!$G58="완료",2,1)),"")</x:f>
      </x:c>
    </x:row>
    <x:row r="59" ht="48" customHeight="1">
      <x:c r="A59" s="72" t="str">
        <x:f>'작업 관리'!A59</x:f>
        <x:v>7.6</x:v>
      </x:c>
      <x:c r="B59" s="15" t="str">
        <x:f>'작업 관리'!C59</x:f>
        <x:v>위험 사건 예측 확률·근거·보류 화면</x:v>
      </x:c>
      <x:c r="C59" s="2" t="str">
        <x:f>'작업 관리'!D59</x:f>
        <x:v>서종원</x:v>
      </x:c>
      <x:c r="D59" s="54" t="str">
        <x:f>IF(AND(D$8&gt;='작업 관리'!$E59,D$8&lt;='작업 관리'!$F59),IF('작업 관리'!$I59="마일스톤",3,IF('작업 관리'!$G59="완료",2,1)),"")</x:f>
      </x:c>
      <x:c r="E59" s="54" t="str">
        <x:f>IF(AND(E$8&gt;='작업 관리'!$E59,E$8&lt;='작업 관리'!$F59),IF('작업 관리'!$I59="마일스톤",3,IF('작업 관리'!$G59="완료",2,1)),"")</x:f>
      </x:c>
      <x:c r="F59" s="54" t="str">
        <x:f>IF(AND(F$8&gt;='작업 관리'!$E59,F$8&lt;='작업 관리'!$F59),IF('작업 관리'!$I59="마일스톤",3,IF('작업 관리'!$G59="완료",2,1)),"")</x:f>
      </x:c>
      <x:c r="G59" s="56" t="str">
        <x:f>IF(AND(G$8&gt;='작업 관리'!$E59,G$8&lt;='작업 관리'!$F59),IF('작업 관리'!$I59="마일스톤",3,IF('작업 관리'!$G59="완료",2,1)),"")</x:f>
      </x:c>
      <x:c r="H59" s="56" t="str">
        <x:f>IF(AND(H$8&gt;='작업 관리'!$E59,H$8&lt;='작업 관리'!$F59),IF('작업 관리'!$I59="마일스톤",3,IF('작업 관리'!$G59="완료",2,1)),"")</x:f>
      </x:c>
      <x:c r="I59" s="54" t="str">
        <x:f>IF(AND(I$8&gt;='작업 관리'!$E59,I$8&lt;='작업 관리'!$F59),IF('작업 관리'!$I59="마일스톤",3,IF('작업 관리'!$G59="완료",2,1)),"")</x:f>
      </x:c>
      <x:c r="J59" s="54" t="str">
        <x:f>IF(AND(J$8&gt;='작업 관리'!$E59,J$8&lt;='작업 관리'!$F59),IF('작업 관리'!$I59="마일스톤",3,IF('작업 관리'!$G59="완료",2,1)),"")</x:f>
      </x:c>
      <x:c r="K59" s="54" t="str">
        <x:f>IF(AND(K$8&gt;='작업 관리'!$E59,K$8&lt;='작업 관리'!$F59),IF('작업 관리'!$I59="마일스톤",3,IF('작업 관리'!$G59="완료",2,1)),"")</x:f>
      </x:c>
      <x:c r="L59" s="54" t="n">
        <x:f>IF(AND(L$8&gt;='작업 관리'!$E59,L$8&lt;='작업 관리'!$F59),IF('작업 관리'!$I59="마일스톤",3,IF('작업 관리'!$G59="완료",2,1)),"")</x:f>
        <x:v>1</x:v>
      </x:c>
      <x:c r="M59" s="54" t="n">
        <x:f>IF(AND(M$8&gt;='작업 관리'!$E59,M$8&lt;='작업 관리'!$F59),IF('작업 관리'!$I59="마일스톤",3,IF('작업 관리'!$G59="완료",2,1)),"")</x:f>
        <x:v>1</x:v>
      </x:c>
      <x:c r="N59" s="56" t="str">
        <x:f>IF(AND(N$8&gt;='작업 관리'!$E59,N$8&lt;='작업 관리'!$F59),IF('작업 관리'!$I59="마일스톤",3,IF('작업 관리'!$G59="완료",2,1)),"")</x:f>
      </x:c>
      <x:c r="O59" s="56" t="str">
        <x:f>IF(AND(O$8&gt;='작업 관리'!$E59,O$8&lt;='작업 관리'!$F59),IF('작업 관리'!$I59="마일스톤",3,IF('작업 관리'!$G59="완료",2,1)),"")</x:f>
      </x:c>
      <x:c r="P59" s="54" t="str">
        <x:f>IF(AND(P$8&gt;='작업 관리'!$E59,P$8&lt;='작업 관리'!$F59),IF('작업 관리'!$I59="마일스톤",3,IF('작업 관리'!$G59="완료",2,1)),"")</x:f>
      </x:c>
      <x:c r="Q59" s="54" t="str">
        <x:f>IF(AND(Q$8&gt;='작업 관리'!$E59,Q$8&lt;='작업 관리'!$F59),IF('작업 관리'!$I59="마일스톤",3,IF('작업 관리'!$G59="완료",2,1)),"")</x:f>
      </x:c>
      <x:c r="R59" s="54" t="str">
        <x:f>IF(AND(R$8&gt;='작업 관리'!$E59,R$8&lt;='작업 관리'!$F59),IF('작업 관리'!$I59="마일스톤",3,IF('작업 관리'!$G59="완료",2,1)),"")</x:f>
      </x:c>
      <x:c r="S59" s="54" t="str">
        <x:f>IF(AND(S$8&gt;='작업 관리'!$E59,S$8&lt;='작업 관리'!$F59),IF('작업 관리'!$I59="마일스톤",3,IF('작업 관리'!$G59="완료",2,1)),"")</x:f>
      </x:c>
    </x:row>
    <x:row r="60" ht="48" customHeight="1">
      <x:c r="A60" s="83" t="str">
        <x:f>'작업 관리'!A60</x:f>
        <x:v>7.7</x:v>
      </x:c>
      <x:c r="B60" s="16" t="str">
        <x:f>'작업 관리'!C60</x:f>
        <x:v>예측 결과를 검토 기록에 연결</x:v>
      </x:c>
      <x:c r="C60" s="14" t="str">
        <x:f>'작업 관리'!D60</x:f>
        <x:v>서종원</x:v>
      </x:c>
      <x:c r="D60" s="55" t="str">
        <x:f>IF(AND(D$8&gt;='작업 관리'!$E60,D$8&lt;='작업 관리'!$F60),IF('작업 관리'!$I60="마일스톤",3,IF('작업 관리'!$G60="완료",2,1)),"")</x:f>
      </x:c>
      <x:c r="E60" s="55" t="str">
        <x:f>IF(AND(E$8&gt;='작업 관리'!$E60,E$8&lt;='작업 관리'!$F60),IF('작업 관리'!$I60="마일스톤",3,IF('작업 관리'!$G60="완료",2,1)),"")</x:f>
      </x:c>
      <x:c r="F60" s="55" t="str">
        <x:f>IF(AND(F$8&gt;='작업 관리'!$E60,F$8&lt;='작업 관리'!$F60),IF('작업 관리'!$I60="마일스톤",3,IF('작업 관리'!$G60="완료",2,1)),"")</x:f>
      </x:c>
      <x:c r="G60" s="56" t="str">
        <x:f>IF(AND(G$8&gt;='작업 관리'!$E60,G$8&lt;='작업 관리'!$F60),IF('작업 관리'!$I60="마일스톤",3,IF('작업 관리'!$G60="완료",2,1)),"")</x:f>
      </x:c>
      <x:c r="H60" s="56" t="str">
        <x:f>IF(AND(H$8&gt;='작업 관리'!$E60,H$8&lt;='작업 관리'!$F60),IF('작업 관리'!$I60="마일스톤",3,IF('작업 관리'!$G60="완료",2,1)),"")</x:f>
      </x:c>
      <x:c r="I60" s="55" t="str">
        <x:f>IF(AND(I$8&gt;='작업 관리'!$E60,I$8&lt;='작업 관리'!$F60),IF('작업 관리'!$I60="마일스톤",3,IF('작업 관리'!$G60="완료",2,1)),"")</x:f>
      </x:c>
      <x:c r="J60" s="55" t="str">
        <x:f>IF(AND(J$8&gt;='작업 관리'!$E60,J$8&lt;='작업 관리'!$F60),IF('작업 관리'!$I60="마일스톤",3,IF('작업 관리'!$G60="완료",2,1)),"")</x:f>
      </x:c>
      <x:c r="K60" s="55" t="str">
        <x:f>IF(AND(K$8&gt;='작업 관리'!$E60,K$8&lt;='작업 관리'!$F60),IF('작업 관리'!$I60="마일스톤",3,IF('작업 관리'!$G60="완료",2,1)),"")</x:f>
      </x:c>
      <x:c r="L60" s="55" t="str">
        <x:f>IF(AND(L$8&gt;='작업 관리'!$E60,L$8&lt;='작업 관리'!$F60),IF('작업 관리'!$I60="마일스톤",3,IF('작업 관리'!$G60="완료",2,1)),"")</x:f>
      </x:c>
      <x:c r="M60" s="55" t="n">
        <x:f>IF(AND(M$8&gt;='작업 관리'!$E60,M$8&lt;='작업 관리'!$F60),IF('작업 관리'!$I60="마일스톤",3,IF('작업 관리'!$G60="완료",2,1)),"")</x:f>
        <x:v>1</x:v>
      </x:c>
      <x:c r="N60" s="56" t="str">
        <x:f>IF(AND(N$8&gt;='작업 관리'!$E60,N$8&lt;='작업 관리'!$F60),IF('작업 관리'!$I60="마일스톤",3,IF('작업 관리'!$G60="완료",2,1)),"")</x:f>
      </x:c>
      <x:c r="O60" s="56" t="str">
        <x:f>IF(AND(O$8&gt;='작업 관리'!$E60,O$8&lt;='작업 관리'!$F60),IF('작업 관리'!$I60="마일스톤",3,IF('작업 관리'!$G60="완료",2,1)),"")</x:f>
      </x:c>
      <x:c r="P60" s="55" t="str">
        <x:f>IF(AND(P$8&gt;='작업 관리'!$E60,P$8&lt;='작업 관리'!$F60),IF('작업 관리'!$I60="마일스톤",3,IF('작업 관리'!$G60="완료",2,1)),"")</x:f>
      </x:c>
      <x:c r="Q60" s="55" t="str">
        <x:f>IF(AND(Q$8&gt;='작업 관리'!$E60,Q$8&lt;='작업 관리'!$F60),IF('작업 관리'!$I60="마일스톤",3,IF('작업 관리'!$G60="완료",2,1)),"")</x:f>
      </x:c>
      <x:c r="R60" s="55" t="str">
        <x:f>IF(AND(R$8&gt;='작업 관리'!$E60,R$8&lt;='작업 관리'!$F60),IF('작업 관리'!$I60="마일스톤",3,IF('작업 관리'!$G60="완료",2,1)),"")</x:f>
      </x:c>
      <x:c r="S60" s="55" t="str">
        <x:f>IF(AND(S$8&gt;='작업 관리'!$E60,S$8&lt;='작업 관리'!$F60),IF('작업 관리'!$I60="마일스톤",3,IF('작업 관리'!$G60="완료",2,1)),"")</x:f>
      </x:c>
    </x:row>
    <x:row r="61" ht="48" customHeight="1">
      <x:c r="A61" s="72" t="str">
        <x:f>'작업 관리'!A61</x:f>
        <x:v>7.2</x:v>
      </x:c>
      <x:c r="B61" s="15" t="str">
        <x:f>'작업 관리'!C61</x:f>
        <x:v>모델 성능·정보 누출·해석 검증</x:v>
      </x:c>
      <x:c r="C61" s="2" t="str">
        <x:f>'작업 관리'!D61</x:f>
        <x:v>김동민</x:v>
      </x:c>
      <x:c r="D61" s="54" t="str">
        <x:f>IF(AND(D$8&gt;='작업 관리'!$E61,D$8&lt;='작업 관리'!$F61),IF('작업 관리'!$I61="마일스톤",3,IF('작업 관리'!$G61="완료",2,1)),"")</x:f>
      </x:c>
      <x:c r="E61" s="54" t="str">
        <x:f>IF(AND(E$8&gt;='작업 관리'!$E61,E$8&lt;='작업 관리'!$F61),IF('작업 관리'!$I61="마일스톤",3,IF('작업 관리'!$G61="완료",2,1)),"")</x:f>
      </x:c>
      <x:c r="F61" s="54" t="str">
        <x:f>IF(AND(F$8&gt;='작업 관리'!$E61,F$8&lt;='작업 관리'!$F61),IF('작업 관리'!$I61="마일스톤",3,IF('작업 관리'!$G61="완료",2,1)),"")</x:f>
      </x:c>
      <x:c r="G61" s="56" t="str">
        <x:f>IF(AND(G$8&gt;='작업 관리'!$E61,G$8&lt;='작업 관리'!$F61),IF('작업 관리'!$I61="마일스톤",3,IF('작업 관리'!$G61="완료",2,1)),"")</x:f>
      </x:c>
      <x:c r="H61" s="56" t="str">
        <x:f>IF(AND(H$8&gt;='작업 관리'!$E61,H$8&lt;='작업 관리'!$F61),IF('작업 관리'!$I61="마일스톤",3,IF('작업 관리'!$G61="완료",2,1)),"")</x:f>
      </x:c>
      <x:c r="I61" s="54" t="str">
        <x:f>IF(AND(I$8&gt;='작업 관리'!$E61,I$8&lt;='작업 관리'!$F61),IF('작업 관리'!$I61="마일스톤",3,IF('작업 관리'!$G61="완료",2,1)),"")</x:f>
      </x:c>
      <x:c r="J61" s="54" t="str">
        <x:f>IF(AND(J$8&gt;='작업 관리'!$E61,J$8&lt;='작업 관리'!$F61),IF('작업 관리'!$I61="마일스톤",3,IF('작업 관리'!$G61="완료",2,1)),"")</x:f>
      </x:c>
      <x:c r="K61" s="54" t="str">
        <x:f>IF(AND(K$8&gt;='작업 관리'!$E61,K$8&lt;='작업 관리'!$F61),IF('작업 관리'!$I61="마일스톤",3,IF('작업 관리'!$G61="완료",2,1)),"")</x:f>
      </x:c>
      <x:c r="L61" s="54" t="str">
        <x:f>IF(AND(L$8&gt;='작업 관리'!$E61,L$8&lt;='작업 관리'!$F61),IF('작업 관리'!$I61="마일스톤",3,IF('작업 관리'!$G61="완료",2,1)),"")</x:f>
      </x:c>
      <x:c r="M61" s="54" t="n">
        <x:f>IF(AND(M$8&gt;='작업 관리'!$E61,M$8&lt;='작업 관리'!$F61),IF('작업 관리'!$I61="마일스톤",3,IF('작업 관리'!$G61="완료",2,1)),"")</x:f>
        <x:v>1</x:v>
      </x:c>
      <x:c r="N61" s="56" t="n">
        <x:f>IF(AND(N$8&gt;='작업 관리'!$E61,N$8&lt;='작업 관리'!$F61),IF('작업 관리'!$I61="마일스톤",3,IF('작업 관리'!$G61="완료",2,1)),"")</x:f>
        <x:v>1</x:v>
      </x:c>
      <x:c r="O61" s="56" t="str">
        <x:f>IF(AND(O$8&gt;='작업 관리'!$E61,O$8&lt;='작업 관리'!$F61),IF('작업 관리'!$I61="마일스톤",3,IF('작업 관리'!$G61="완료",2,1)),"")</x:f>
      </x:c>
      <x:c r="P61" s="54" t="str">
        <x:f>IF(AND(P$8&gt;='작업 관리'!$E61,P$8&lt;='작업 관리'!$F61),IF('작업 관리'!$I61="마일스톤",3,IF('작업 관리'!$G61="완료",2,1)),"")</x:f>
      </x:c>
      <x:c r="Q61" s="54" t="str">
        <x:f>IF(AND(Q$8&gt;='작업 관리'!$E61,Q$8&lt;='작업 관리'!$F61),IF('작업 관리'!$I61="마일스톤",3,IF('작업 관리'!$G61="완료",2,1)),"")</x:f>
      </x:c>
      <x:c r="R61" s="54" t="str">
        <x:f>IF(AND(R$8&gt;='작업 관리'!$E61,R$8&lt;='작업 관리'!$F61),IF('작업 관리'!$I61="마일스톤",3,IF('작업 관리'!$G61="완료",2,1)),"")</x:f>
      </x:c>
      <x:c r="S61" s="54" t="str">
        <x:f>IF(AND(S$8&gt;='작업 관리'!$E61,S$8&lt;='작업 관리'!$F61),IF('작업 관리'!$I61="마일스톤",3,IF('작업 관리'!$G61="완료",2,1)),"")</x:f>
      </x:c>
    </x:row>
    <x:row r="62" ht="48" customHeight="1">
      <x:c r="A62" s="83" t="str">
        <x:f>'작업 관리'!A62</x:f>
        <x:v>7.M7</x:v>
      </x:c>
      <x:c r="B62" s="16" t="str">
        <x:f>'작업 관리'!C62</x:f>
        <x:v>위험 사건 모델·연동 검증 기준 고정</x:v>
      </x:c>
      <x:c r="C62" s="14" t="str">
        <x:f>'작업 관리'!D62</x:f>
        <x:v>김동혁</x:v>
      </x:c>
      <x:c r="D62" s="55" t="str">
        <x:f>IF(AND(D$8&gt;='작업 관리'!$E62,D$8&lt;='작업 관리'!$F62),IF('작업 관리'!$I62="마일스톤",3,IF('작업 관리'!$G62="완료",2,1)),"")</x:f>
      </x:c>
      <x:c r="E62" s="55" t="str">
        <x:f>IF(AND(E$8&gt;='작업 관리'!$E62,E$8&lt;='작업 관리'!$F62),IF('작업 관리'!$I62="마일스톤",3,IF('작업 관리'!$G62="완료",2,1)),"")</x:f>
      </x:c>
      <x:c r="F62" s="55" t="str">
        <x:f>IF(AND(F$8&gt;='작업 관리'!$E62,F$8&lt;='작업 관리'!$F62),IF('작업 관리'!$I62="마일스톤",3,IF('작업 관리'!$G62="완료",2,1)),"")</x:f>
      </x:c>
      <x:c r="G62" s="56" t="str">
        <x:f>IF(AND(G$8&gt;='작업 관리'!$E62,G$8&lt;='작업 관리'!$F62),IF('작업 관리'!$I62="마일스톤",3,IF('작업 관리'!$G62="완료",2,1)),"")</x:f>
      </x:c>
      <x:c r="H62" s="56" t="str">
        <x:f>IF(AND(H$8&gt;='작업 관리'!$E62,H$8&lt;='작업 관리'!$F62),IF('작업 관리'!$I62="마일스톤",3,IF('작업 관리'!$G62="완료",2,1)),"")</x:f>
      </x:c>
      <x:c r="I62" s="55" t="str">
        <x:f>IF(AND(I$8&gt;='작업 관리'!$E62,I$8&lt;='작업 관리'!$F62),IF('작업 관리'!$I62="마일스톤",3,IF('작업 관리'!$G62="완료",2,1)),"")</x:f>
      </x:c>
      <x:c r="J62" s="55" t="str">
        <x:f>IF(AND(J$8&gt;='작업 관리'!$E62,J$8&lt;='작업 관리'!$F62),IF('작업 관리'!$I62="마일스톤",3,IF('작업 관리'!$G62="완료",2,1)),"")</x:f>
      </x:c>
      <x:c r="K62" s="55" t="str">
        <x:f>IF(AND(K$8&gt;='작업 관리'!$E62,K$8&lt;='작업 관리'!$F62),IF('작업 관리'!$I62="마일스톤",3,IF('작업 관리'!$G62="완료",2,1)),"")</x:f>
      </x:c>
      <x:c r="L62" s="55" t="str">
        <x:f>IF(AND(L$8&gt;='작업 관리'!$E62,L$8&lt;='작업 관리'!$F62),IF('작업 관리'!$I62="마일스톤",3,IF('작업 관리'!$G62="완료",2,1)),"")</x:f>
      </x:c>
      <x:c r="M62" s="55" t="str">
        <x:f>IF(AND(M$8&gt;='작업 관리'!$E62,M$8&lt;='작업 관리'!$F62),IF('작업 관리'!$I62="마일스톤",3,IF('작업 관리'!$G62="완료",2,1)),"")</x:f>
      </x:c>
      <x:c r="N62" s="56" t="n">
        <x:f>IF(AND(N$8&gt;='작업 관리'!$E62,N$8&lt;='작업 관리'!$F62),IF('작업 관리'!$I62="마일스톤",3,IF('작업 관리'!$G62="완료",2,1)),"")</x:f>
        <x:v>3</x:v>
      </x:c>
      <x:c r="O62" s="56" t="str">
        <x:f>IF(AND(O$8&gt;='작업 관리'!$E62,O$8&lt;='작업 관리'!$F62),IF('작업 관리'!$I62="마일스톤",3,IF('작업 관리'!$G62="완료",2,1)),"")</x:f>
      </x:c>
      <x:c r="P62" s="55" t="str">
        <x:f>IF(AND(P$8&gt;='작업 관리'!$E62,P$8&lt;='작업 관리'!$F62),IF('작업 관리'!$I62="마일스톤",3,IF('작업 관리'!$G62="완료",2,1)),"")</x:f>
      </x:c>
      <x:c r="Q62" s="55" t="str">
        <x:f>IF(AND(Q$8&gt;='작업 관리'!$E62,Q$8&lt;='작업 관리'!$F62),IF('작업 관리'!$I62="마일스톤",3,IF('작업 관리'!$G62="완료",2,1)),"")</x:f>
      </x:c>
      <x:c r="R62" s="55" t="str">
        <x:f>IF(AND(R$8&gt;='작업 관리'!$E62,R$8&lt;='작업 관리'!$F62),IF('작업 관리'!$I62="마일스톤",3,IF('작업 관리'!$G62="완료",2,1)),"")</x:f>
      </x:c>
      <x:c r="S62" s="55" t="str">
        <x:f>IF(AND(S$8&gt;='작업 관리'!$E62,S$8&lt;='작업 관리'!$F62),IF('작업 관리'!$I62="마일스톤",3,IF('작업 관리'!$G62="완료",2,1)),"")</x:f>
      </x:c>
    </x:row>
    <x:row r="63" ht="48" customHeight="1">
      <x:c r="A63" s="72" t="str">
        <x:f>'작업 관리'!A63</x:f>
        <x:v>5.1</x:v>
      </x:c>
      <x:c r="B63" s="15" t="str">
        <x:f>'작업 관리'!C63</x:f>
        <x:v>접근 제어·인증키·배포 점검</x:v>
      </x:c>
      <x:c r="C63" s="2" t="str">
        <x:f>'작업 관리'!D63</x:f>
        <x:v>서종원</x:v>
      </x:c>
      <x:c r="D63" s="54" t="str">
        <x:f>IF(AND(D$8&gt;='작업 관리'!$E63,D$8&lt;='작업 관리'!$F63),IF('작업 관리'!$I63="마일스톤",3,IF('작업 관리'!$G63="완료",2,1)),"")</x:f>
      </x:c>
      <x:c r="E63" s="54" t="str">
        <x:f>IF(AND(E$8&gt;='작업 관리'!$E63,E$8&lt;='작업 관리'!$F63),IF('작업 관리'!$I63="마일스톤",3,IF('작업 관리'!$G63="완료",2,1)),"")</x:f>
      </x:c>
      <x:c r="F63" s="54" t="str">
        <x:f>IF(AND(F$8&gt;='작업 관리'!$E63,F$8&lt;='작업 관리'!$F63),IF('작업 관리'!$I63="마일스톤",3,IF('작업 관리'!$G63="완료",2,1)),"")</x:f>
      </x:c>
      <x:c r="G63" s="56" t="str">
        <x:f>IF(AND(G$8&gt;='작업 관리'!$E63,G$8&lt;='작업 관리'!$F63),IF('작업 관리'!$I63="마일스톤",3,IF('작업 관리'!$G63="완료",2,1)),"")</x:f>
      </x:c>
      <x:c r="H63" s="56" t="str">
        <x:f>IF(AND(H$8&gt;='작업 관리'!$E63,H$8&lt;='작업 관리'!$F63),IF('작업 관리'!$I63="마일스톤",3,IF('작업 관리'!$G63="완료",2,1)),"")</x:f>
      </x:c>
      <x:c r="I63" s="54" t="str">
        <x:f>IF(AND(I$8&gt;='작업 관리'!$E63,I$8&lt;='작업 관리'!$F63),IF('작업 관리'!$I63="마일스톤",3,IF('작업 관리'!$G63="완료",2,1)),"")</x:f>
      </x:c>
      <x:c r="J63" s="54" t="str">
        <x:f>IF(AND(J$8&gt;='작업 관리'!$E63,J$8&lt;='작업 관리'!$F63),IF('작업 관리'!$I63="마일스톤",3,IF('작업 관리'!$G63="완료",2,1)),"")</x:f>
      </x:c>
      <x:c r="K63" s="54" t="str">
        <x:f>IF(AND(K$8&gt;='작업 관리'!$E63,K$8&lt;='작업 관리'!$F63),IF('작업 관리'!$I63="마일스톤",3,IF('작업 관리'!$G63="완료",2,1)),"")</x:f>
      </x:c>
      <x:c r="L63" s="54" t="str">
        <x:f>IF(AND(L$8&gt;='작업 관리'!$E63,L$8&lt;='작업 관리'!$F63),IF('작업 관리'!$I63="마일스톤",3,IF('작업 관리'!$G63="완료",2,1)),"")</x:f>
      </x:c>
      <x:c r="M63" s="54" t="str">
        <x:f>IF(AND(M$8&gt;='작업 관리'!$E63,M$8&lt;='작업 관리'!$F63),IF('작업 관리'!$I63="마일스톤",3,IF('작업 관리'!$G63="완료",2,1)),"")</x:f>
      </x:c>
      <x:c r="N63" s="56" t="n">
        <x:f>IF(AND(N$8&gt;='작업 관리'!$E63,N$8&lt;='작업 관리'!$F63),IF('작업 관리'!$I63="마일스톤",3,IF('작업 관리'!$G63="완료",2,1)),"")</x:f>
        <x:v>1</x:v>
      </x:c>
      <x:c r="O63" s="56" t="str">
        <x:f>IF(AND(O$8&gt;='작업 관리'!$E63,O$8&lt;='작업 관리'!$F63),IF('작업 관리'!$I63="마일스톤",3,IF('작업 관리'!$G63="완료",2,1)),"")</x:f>
      </x:c>
      <x:c r="P63" s="54" t="str">
        <x:f>IF(AND(P$8&gt;='작업 관리'!$E63,P$8&lt;='작업 관리'!$F63),IF('작업 관리'!$I63="마일스톤",3,IF('작업 관리'!$G63="완료",2,1)),"")</x:f>
      </x:c>
      <x:c r="Q63" s="54" t="str">
        <x:f>IF(AND(Q$8&gt;='작업 관리'!$E63,Q$8&lt;='작업 관리'!$F63),IF('작업 관리'!$I63="마일스톤",3,IF('작업 관리'!$G63="완료",2,1)),"")</x:f>
      </x:c>
      <x:c r="R63" s="54" t="str">
        <x:f>IF(AND(R$8&gt;='작업 관리'!$E63,R$8&lt;='작업 관리'!$F63),IF('작업 관리'!$I63="마일스톤",3,IF('작업 관리'!$G63="완료",2,1)),"")</x:f>
      </x:c>
      <x:c r="S63" s="54" t="str">
        <x:f>IF(AND(S$8&gt;='작업 관리'!$E63,S$8&lt;='작업 관리'!$F63),IF('작업 관리'!$I63="마일스톤",3,IF('작업 관리'!$G63="완료",2,1)),"")</x:f>
      </x:c>
    </x:row>
    <x:row r="64" ht="48" customHeight="1">
      <x:c r="A64" s="83" t="str">
        <x:f>'작업 관리'!A64</x:f>
        <x:v>5.2</x:v>
      </x:c>
      <x:c r="B64" s="16" t="str">
        <x:f>'작업 관리'!C64</x:f>
        <x:v>선정 기업별 기능·모델 통합 검증</x:v>
      </x:c>
      <x:c r="C64" s="14" t="str">
        <x:f>'작업 관리'!D64</x:f>
        <x:v>김동민</x:v>
      </x:c>
      <x:c r="D64" s="55" t="str">
        <x:f>IF(AND(D$8&gt;='작업 관리'!$E64,D$8&lt;='작업 관리'!$F64),IF('작업 관리'!$I64="마일스톤",3,IF('작업 관리'!$G64="완료",2,1)),"")</x:f>
      </x:c>
      <x:c r="E64" s="55" t="str">
        <x:f>IF(AND(E$8&gt;='작업 관리'!$E64,E$8&lt;='작업 관리'!$F64),IF('작업 관리'!$I64="마일스톤",3,IF('작업 관리'!$G64="완료",2,1)),"")</x:f>
      </x:c>
      <x:c r="F64" s="55" t="str">
        <x:f>IF(AND(F$8&gt;='작업 관리'!$E64,F$8&lt;='작업 관리'!$F64),IF('작업 관리'!$I64="마일스톤",3,IF('작업 관리'!$G64="완료",2,1)),"")</x:f>
      </x:c>
      <x:c r="G64" s="56" t="str">
        <x:f>IF(AND(G$8&gt;='작업 관리'!$E64,G$8&lt;='작업 관리'!$F64),IF('작업 관리'!$I64="마일스톤",3,IF('작업 관리'!$G64="완료",2,1)),"")</x:f>
      </x:c>
      <x:c r="H64" s="56" t="str">
        <x:f>IF(AND(H$8&gt;='작업 관리'!$E64,H$8&lt;='작업 관리'!$F64),IF('작업 관리'!$I64="마일스톤",3,IF('작업 관리'!$G64="완료",2,1)),"")</x:f>
      </x:c>
      <x:c r="I64" s="55" t="str">
        <x:f>IF(AND(I$8&gt;='작업 관리'!$E64,I$8&lt;='작업 관리'!$F64),IF('작업 관리'!$I64="마일스톤",3,IF('작업 관리'!$G64="완료",2,1)),"")</x:f>
      </x:c>
      <x:c r="J64" s="55" t="str">
        <x:f>IF(AND(J$8&gt;='작업 관리'!$E64,J$8&lt;='작업 관리'!$F64),IF('작업 관리'!$I64="마일스톤",3,IF('작업 관리'!$G64="완료",2,1)),"")</x:f>
      </x:c>
      <x:c r="K64" s="55" t="str">
        <x:f>IF(AND(K$8&gt;='작업 관리'!$E64,K$8&lt;='작업 관리'!$F64),IF('작업 관리'!$I64="마일스톤",3,IF('작업 관리'!$G64="완료",2,1)),"")</x:f>
      </x:c>
      <x:c r="L64" s="55" t="str">
        <x:f>IF(AND(L$8&gt;='작업 관리'!$E64,L$8&lt;='작업 관리'!$F64),IF('작업 관리'!$I64="마일스톤",3,IF('작업 관리'!$G64="완료",2,1)),"")</x:f>
      </x:c>
      <x:c r="M64" s="55" t="str">
        <x:f>IF(AND(M$8&gt;='작업 관리'!$E64,M$8&lt;='작업 관리'!$F64),IF('작업 관리'!$I64="마일스톤",3,IF('작업 관리'!$G64="완료",2,1)),"")</x:f>
      </x:c>
      <x:c r="N64" s="56" t="n">
        <x:f>IF(AND(N$8&gt;='작업 관리'!$E64,N$8&lt;='작업 관리'!$F64),IF('작업 관리'!$I64="마일스톤",3,IF('작업 관리'!$G64="완료",2,1)),"")</x:f>
        <x:v>1</x:v>
      </x:c>
      <x:c r="O64" s="56" t="n">
        <x:f>IF(AND(O$8&gt;='작업 관리'!$E64,O$8&lt;='작업 관리'!$F64),IF('작업 관리'!$I64="마일스톤",3,IF('작업 관리'!$G64="완료",2,1)),"")</x:f>
        <x:v>1</x:v>
      </x:c>
      <x:c r="P64" s="55" t="str">
        <x:f>IF(AND(P$8&gt;='작업 관리'!$E64,P$8&lt;='작업 관리'!$F64),IF('작업 관리'!$I64="마일스톤",3,IF('작업 관리'!$G64="완료",2,1)),"")</x:f>
      </x:c>
      <x:c r="Q64" s="55" t="str">
        <x:f>IF(AND(Q$8&gt;='작업 관리'!$E64,Q$8&lt;='작업 관리'!$F64),IF('작업 관리'!$I64="마일스톤",3,IF('작업 관리'!$G64="완료",2,1)),"")</x:f>
      </x:c>
      <x:c r="R64" s="55" t="str">
        <x:f>IF(AND(R$8&gt;='작업 관리'!$E64,R$8&lt;='작업 관리'!$F64),IF('작업 관리'!$I64="마일스톤",3,IF('작업 관리'!$G64="완료",2,1)),"")</x:f>
      </x:c>
      <x:c r="S64" s="55" t="str">
        <x:f>IF(AND(S$8&gt;='작업 관리'!$E64,S$8&lt;='작업 관리'!$F64),IF('작업 관리'!$I64="마일스톤",3,IF('작업 관리'!$G64="완료",2,1)),"")</x:f>
      </x:c>
    </x:row>
    <x:row r="65" ht="48" customHeight="1">
      <x:c r="A65" s="83" t="str">
        <x:f>'작업 관리'!A65</x:f>
        <x:v>5.4</x:v>
      </x:c>
      <x:c r="B65" s="16" t="str">
        <x:f>'작업 관리'!C65</x:f>
        <x:v>현직자 피드백 수렴</x:v>
      </x:c>
      <x:c r="C65" s="14" t="str">
        <x:f>'작업 관리'!D65</x:f>
        <x:v>오준탁</x:v>
      </x:c>
      <x:c r="D65" s="55" t="str">
        <x:f>IF(AND(D$8&gt;='작업 관리'!$E65,D$8&lt;='작업 관리'!$F65),IF('작업 관리'!$I65="마일스톤",3,IF('작업 관리'!$G65="완료",2,1)),"")</x:f>
      </x:c>
      <x:c r="E65" s="55" t="str">
        <x:f>IF(AND(E$8&gt;='작업 관리'!$E65,E$8&lt;='작업 관리'!$F65),IF('작업 관리'!$I65="마일스톤",3,IF('작업 관리'!$G65="완료",2,1)),"")</x:f>
      </x:c>
      <x:c r="F65" s="55" t="str">
        <x:f>IF(AND(F$8&gt;='작업 관리'!$E65,F$8&lt;='작업 관리'!$F65),IF('작업 관리'!$I65="마일스톤",3,IF('작업 관리'!$G65="완료",2,1)),"")</x:f>
      </x:c>
      <x:c r="G65" s="56" t="str">
        <x:f>IF(AND(G$8&gt;='작업 관리'!$E65,G$8&lt;='작업 관리'!$F65),IF('작업 관리'!$I65="마일스톤",3,IF('작업 관리'!$G65="완료",2,1)),"")</x:f>
      </x:c>
      <x:c r="H65" s="56" t="str">
        <x:f>IF(AND(H$8&gt;='작업 관리'!$E65,H$8&lt;='작업 관리'!$F65),IF('작업 관리'!$I65="마일스톤",3,IF('작업 관리'!$G65="완료",2,1)),"")</x:f>
      </x:c>
      <x:c r="I65" s="55" t="str">
        <x:f>IF(AND(I$8&gt;='작업 관리'!$E65,I$8&lt;='작업 관리'!$F65),IF('작업 관리'!$I65="마일스톤",3,IF('작업 관리'!$G65="완료",2,1)),"")</x:f>
      </x:c>
      <x:c r="J65" s="55" t="str">
        <x:f>IF(AND(J$8&gt;='작업 관리'!$E65,J$8&lt;='작업 관리'!$F65),IF('작업 관리'!$I65="마일스톤",3,IF('작업 관리'!$G65="완료",2,1)),"")</x:f>
      </x:c>
      <x:c r="K65" s="55" t="str">
        <x:f>IF(AND(K$8&gt;='작업 관리'!$E65,K$8&lt;='작업 관리'!$F65),IF('작업 관리'!$I65="마일스톤",3,IF('작업 관리'!$G65="완료",2,1)),"")</x:f>
      </x:c>
      <x:c r="L65" s="55" t="str">
        <x:f>IF(AND(L$8&gt;='작업 관리'!$E65,L$8&lt;='작업 관리'!$F65),IF('작업 관리'!$I65="마일스톤",3,IF('작업 관리'!$G65="완료",2,1)),"")</x:f>
      </x:c>
      <x:c r="M65" s="55" t="str">
        <x:f>IF(AND(M$8&gt;='작업 관리'!$E65,M$8&lt;='작업 관리'!$F65),IF('작업 관리'!$I65="마일스톤",3,IF('작업 관리'!$G65="완료",2,1)),"")</x:f>
      </x:c>
      <x:c r="N65" s="56" t="n">
        <x:f>IF(AND(N$8&gt;='작업 관리'!$E65,N$8&lt;='작업 관리'!$F65),IF('작업 관리'!$I65="마일스톤",3,IF('작업 관리'!$G65="완료",2,1)),"")</x:f>
        <x:v>1</x:v>
      </x:c>
      <x:c r="O65" s="56" t="n">
        <x:f>IF(AND(O$8&gt;='작업 관리'!$E65,O$8&lt;='작업 관리'!$F65),IF('작업 관리'!$I65="마일스톤",3,IF('작업 관리'!$G65="완료",2,1)),"")</x:f>
        <x:v>1</x:v>
      </x:c>
      <x:c r="P65" s="55" t="str">
        <x:f>IF(AND(P$8&gt;='작업 관리'!$E65,P$8&lt;='작업 관리'!$F65),IF('작업 관리'!$I65="마일스톤",3,IF('작업 관리'!$G65="완료",2,1)),"")</x:f>
      </x:c>
      <x:c r="Q65" s="55" t="str">
        <x:f>IF(AND(Q$8&gt;='작업 관리'!$E65,Q$8&lt;='작업 관리'!$F65),IF('작업 관리'!$I65="마일스톤",3,IF('작업 관리'!$G65="완료",2,1)),"")</x:f>
      </x:c>
      <x:c r="R65" s="55" t="str">
        <x:f>IF(AND(R$8&gt;='작업 관리'!$E65,R$8&lt;='작업 관리'!$F65),IF('작업 관리'!$I65="마일스톤",3,IF('작업 관리'!$G65="완료",2,1)),"")</x:f>
      </x:c>
      <x:c r="S65" s="55" t="str">
        <x:f>IF(AND(S$8&gt;='작업 관리'!$E65,S$8&lt;='작업 관리'!$F65),IF('작업 관리'!$I65="마일스톤",3,IF('작업 관리'!$G65="완료",2,1)),"")</x:f>
      </x:c>
    </x:row>
    <x:row r="66" ht="48" customHeight="1">
      <x:c r="A66" s="83" t="str">
        <x:f>'작업 관리'!A66</x:f>
        <x:v>5.7</x:v>
      </x:c>
      <x:c r="B66" s="16" t="str">
        <x:f>'작업 관리'!C66</x:f>
        <x:v>규칙 단계·패널·검출 상태 통합 검수</x:v>
      </x:c>
      <x:c r="C66" s="14" t="str">
        <x:f>'작업 관리'!D66</x:f>
        <x:v>최수인</x:v>
      </x:c>
      <x:c r="D66" s="55" t="str">
        <x:f>IF(AND(D$8&gt;='작업 관리'!$E66,D$8&lt;='작업 관리'!$F66),IF('작업 관리'!$I66="마일스톤",3,IF('작업 관리'!$G66="완료",2,1)),"")</x:f>
      </x:c>
      <x:c r="E66" s="55" t="str">
        <x:f>IF(AND(E$8&gt;='작업 관리'!$E66,E$8&lt;='작업 관리'!$F66),IF('작업 관리'!$I66="마일스톤",3,IF('작업 관리'!$G66="완료",2,1)),"")</x:f>
      </x:c>
      <x:c r="F66" s="55" t="str">
        <x:f>IF(AND(F$8&gt;='작업 관리'!$E66,F$8&lt;='작업 관리'!$F66),IF('작업 관리'!$I66="마일스톤",3,IF('작업 관리'!$G66="완료",2,1)),"")</x:f>
      </x:c>
      <x:c r="G66" s="56" t="str">
        <x:f>IF(AND(G$8&gt;='작업 관리'!$E66,G$8&lt;='작업 관리'!$F66),IF('작업 관리'!$I66="마일스톤",3,IF('작업 관리'!$G66="완료",2,1)),"")</x:f>
      </x:c>
      <x:c r="H66" s="56" t="str">
        <x:f>IF(AND(H$8&gt;='작업 관리'!$E66,H$8&lt;='작업 관리'!$F66),IF('작업 관리'!$I66="마일스톤",3,IF('작업 관리'!$G66="완료",2,1)),"")</x:f>
      </x:c>
      <x:c r="I66" s="55" t="str">
        <x:f>IF(AND(I$8&gt;='작업 관리'!$E66,I$8&lt;='작업 관리'!$F66),IF('작업 관리'!$I66="마일스톤",3,IF('작업 관리'!$G66="완료",2,1)),"")</x:f>
      </x:c>
      <x:c r="J66" s="55" t="str">
        <x:f>IF(AND(J$8&gt;='작업 관리'!$E66,J$8&lt;='작업 관리'!$F66),IF('작업 관리'!$I66="마일스톤",3,IF('작업 관리'!$G66="완료",2,1)),"")</x:f>
      </x:c>
      <x:c r="K66" s="55" t="str">
        <x:f>IF(AND(K$8&gt;='작업 관리'!$E66,K$8&lt;='작업 관리'!$F66),IF('작업 관리'!$I66="마일스톤",3,IF('작업 관리'!$G66="완료",2,1)),"")</x:f>
      </x:c>
      <x:c r="L66" s="55" t="str">
        <x:f>IF(AND(L$8&gt;='작업 관리'!$E66,L$8&lt;='작업 관리'!$F66),IF('작업 관리'!$I66="마일스톤",3,IF('작업 관리'!$G66="완료",2,1)),"")</x:f>
      </x:c>
      <x:c r="M66" s="55" t="str">
        <x:f>IF(AND(M$8&gt;='작업 관리'!$E66,M$8&lt;='작업 관리'!$F66),IF('작업 관리'!$I66="마일스톤",3,IF('작업 관리'!$G66="완료",2,1)),"")</x:f>
      </x:c>
      <x:c r="N66" s="56" t="n">
        <x:f>IF(AND(N$8&gt;='작업 관리'!$E66,N$8&lt;='작업 관리'!$F66),IF('작업 관리'!$I66="마일스톤",3,IF('작업 관리'!$G66="완료",2,1)),"")</x:f>
        <x:v>1</x:v>
      </x:c>
      <x:c r="O66" s="56" t="n">
        <x:f>IF(AND(O$8&gt;='작업 관리'!$E66,O$8&lt;='작업 관리'!$F66),IF('작업 관리'!$I66="마일스톤",3,IF('작업 관리'!$G66="완료",2,1)),"")</x:f>
        <x:v>1</x:v>
      </x:c>
      <x:c r="P66" s="55" t="str">
        <x:f>IF(AND(P$8&gt;='작업 관리'!$E66,P$8&lt;='작업 관리'!$F66),IF('작업 관리'!$I66="마일스톤",3,IF('작업 관리'!$G66="완료",2,1)),"")</x:f>
      </x:c>
      <x:c r="Q66" s="55" t="str">
        <x:f>IF(AND(Q$8&gt;='작업 관리'!$E66,Q$8&lt;='작업 관리'!$F66),IF('작업 관리'!$I66="마일스톤",3,IF('작업 관리'!$G66="완료",2,1)),"")</x:f>
      </x:c>
      <x:c r="R66" s="55" t="str">
        <x:f>IF(AND(R$8&gt;='작업 관리'!$E66,R$8&lt;='작업 관리'!$F66),IF('작업 관리'!$I66="마일스톤",3,IF('작업 관리'!$G66="완료",2,1)),"")</x:f>
      </x:c>
      <x:c r="S66" s="55" t="str">
        <x:f>IF(AND(S$8&gt;='작업 관리'!$E66,S$8&lt;='작업 관리'!$F66),IF('작업 관리'!$I66="마일스톤",3,IF('작업 관리'!$G66="완료",2,1)),"")</x:f>
      </x:c>
    </x:row>
    <x:row r="67" ht="48" customHeight="1">
      <x:c r="A67" s="83" t="str">
        <x:f>'작업 관리'!A67</x:f>
        <x:v>5.3</x:v>
      </x:c>
      <x:c r="B67" s="16" t="str">
        <x:f>'작업 관리'!C67</x:f>
        <x:v>수강생 비교 실험</x:v>
      </x:c>
      <x:c r="C67" s="14" t="str">
        <x:f>'작업 관리'!D67</x:f>
        <x:v>최수인</x:v>
      </x:c>
      <x:c r="D67" s="55" t="str">
        <x:f>IF(AND(D$8&gt;='작업 관리'!$E67,D$8&lt;='작업 관리'!$F67),IF('작업 관리'!$I67="마일스톤",3,IF('작업 관리'!$G67="완료",2,1)),"")</x:f>
      </x:c>
      <x:c r="E67" s="55" t="str">
        <x:f>IF(AND(E$8&gt;='작업 관리'!$E67,E$8&lt;='작업 관리'!$F67),IF('작업 관리'!$I67="마일스톤",3,IF('작업 관리'!$G67="완료",2,1)),"")</x:f>
      </x:c>
      <x:c r="F67" s="55" t="str">
        <x:f>IF(AND(F$8&gt;='작업 관리'!$E67,F$8&lt;='작업 관리'!$F67),IF('작업 관리'!$I67="마일스톤",3,IF('작업 관리'!$G67="완료",2,1)),"")</x:f>
      </x:c>
      <x:c r="G67" s="56" t="str">
        <x:f>IF(AND(G$8&gt;='작업 관리'!$E67,G$8&lt;='작업 관리'!$F67),IF('작업 관리'!$I67="마일스톤",3,IF('작업 관리'!$G67="완료",2,1)),"")</x:f>
      </x:c>
      <x:c r="H67" s="56" t="str">
        <x:f>IF(AND(H$8&gt;='작업 관리'!$E67,H$8&lt;='작업 관리'!$F67),IF('작업 관리'!$I67="마일스톤",3,IF('작업 관리'!$G67="완료",2,1)),"")</x:f>
      </x:c>
      <x:c r="I67" s="55" t="str">
        <x:f>IF(AND(I$8&gt;='작업 관리'!$E67,I$8&lt;='작업 관리'!$F67),IF('작업 관리'!$I67="마일스톤",3,IF('작업 관리'!$G67="완료",2,1)),"")</x:f>
      </x:c>
      <x:c r="J67" s="55" t="str">
        <x:f>IF(AND(J$8&gt;='작업 관리'!$E67,J$8&lt;='작업 관리'!$F67),IF('작업 관리'!$I67="마일스톤",3,IF('작업 관리'!$G67="완료",2,1)),"")</x:f>
      </x:c>
      <x:c r="K67" s="55" t="str">
        <x:f>IF(AND(K$8&gt;='작업 관리'!$E67,K$8&lt;='작업 관리'!$F67),IF('작업 관리'!$I67="마일스톤",3,IF('작업 관리'!$G67="완료",2,1)),"")</x:f>
      </x:c>
      <x:c r="L67" s="55" t="str">
        <x:f>IF(AND(L$8&gt;='작업 관리'!$E67,L$8&lt;='작업 관리'!$F67),IF('작업 관리'!$I67="마일스톤",3,IF('작업 관리'!$G67="완료",2,1)),"")</x:f>
      </x:c>
      <x:c r="M67" s="55" t="str">
        <x:f>IF(AND(M$8&gt;='작업 관리'!$E67,M$8&lt;='작업 관리'!$F67),IF('작업 관리'!$I67="마일스톤",3,IF('작업 관리'!$G67="완료",2,1)),"")</x:f>
      </x:c>
      <x:c r="N67" s="56" t="str">
        <x:f>IF(AND(N$8&gt;='작업 관리'!$E67,N$8&lt;='작업 관리'!$F67),IF('작업 관리'!$I67="마일스톤",3,IF('작업 관리'!$G67="완료",2,1)),"")</x:f>
      </x:c>
      <x:c r="O67" s="56" t="n">
        <x:f>IF(AND(O$8&gt;='작업 관리'!$E67,O$8&lt;='작업 관리'!$F67),IF('작업 관리'!$I67="마일스톤",3,IF('작업 관리'!$G67="완료",2,1)),"")</x:f>
        <x:v>1</x:v>
      </x:c>
      <x:c r="P67" s="55" t="str">
        <x:f>IF(AND(P$8&gt;='작업 관리'!$E67,P$8&lt;='작업 관리'!$F67),IF('작업 관리'!$I67="마일스톤",3,IF('작업 관리'!$G67="완료",2,1)),"")</x:f>
      </x:c>
      <x:c r="Q67" s="55" t="str">
        <x:f>IF(AND(Q$8&gt;='작업 관리'!$E67,Q$8&lt;='작업 관리'!$F67),IF('작업 관리'!$I67="마일스톤",3,IF('작업 관리'!$G67="완료",2,1)),"")</x:f>
      </x:c>
      <x:c r="R67" s="55" t="str">
        <x:f>IF(AND(R$8&gt;='작업 관리'!$E67,R$8&lt;='작업 관리'!$F67),IF('작업 관리'!$I67="마일스톤",3,IF('작업 관리'!$G67="완료",2,1)),"")</x:f>
      </x:c>
      <x:c r="S67" s="55" t="str">
        <x:f>IF(AND(S$8&gt;='작업 관리'!$E67,S$8&lt;='작업 관리'!$F67),IF('작업 관리'!$I67="마일스톤",3,IF('작업 관리'!$G67="완료",2,1)),"")</x:f>
      </x:c>
    </x:row>
    <x:row r="68" ht="48" customHeight="1">
      <x:c r="A68" s="83" t="str">
        <x:f>'작업 관리'!A68</x:f>
        <x:v>5.5</x:v>
      </x:c>
      <x:c r="B68" s="16" t="str">
        <x:f>'작업 관리'!C68</x:f>
        <x:v>오류 수정과 재검증</x:v>
      </x:c>
      <x:c r="C68" s="14" t="str">
        <x:f>'작업 관리'!D68</x:f>
        <x:v>서종원</x:v>
      </x:c>
      <x:c r="D68" s="55" t="str">
        <x:f>IF(AND(D$8&gt;='작업 관리'!$E68,D$8&lt;='작업 관리'!$F68),IF('작업 관리'!$I68="마일스톤",3,IF('작업 관리'!$G68="완료",2,1)),"")</x:f>
      </x:c>
      <x:c r="E68" s="55" t="str">
        <x:f>IF(AND(E$8&gt;='작업 관리'!$E68,E$8&lt;='작업 관리'!$F68),IF('작업 관리'!$I68="마일스톤",3,IF('작업 관리'!$G68="완료",2,1)),"")</x:f>
      </x:c>
      <x:c r="F68" s="55" t="str">
        <x:f>IF(AND(F$8&gt;='작업 관리'!$E68,F$8&lt;='작업 관리'!$F68),IF('작업 관리'!$I68="마일스톤",3,IF('작업 관리'!$G68="완료",2,1)),"")</x:f>
      </x:c>
      <x:c r="G68" s="56" t="str">
        <x:f>IF(AND(G$8&gt;='작업 관리'!$E68,G$8&lt;='작업 관리'!$F68),IF('작업 관리'!$I68="마일스톤",3,IF('작업 관리'!$G68="완료",2,1)),"")</x:f>
      </x:c>
      <x:c r="H68" s="56" t="str">
        <x:f>IF(AND(H$8&gt;='작업 관리'!$E68,H$8&lt;='작업 관리'!$F68),IF('작업 관리'!$I68="마일스톤",3,IF('작업 관리'!$G68="완료",2,1)),"")</x:f>
      </x:c>
      <x:c r="I68" s="55" t="str">
        <x:f>IF(AND(I$8&gt;='작업 관리'!$E68,I$8&lt;='작업 관리'!$F68),IF('작업 관리'!$I68="마일스톤",3,IF('작업 관리'!$G68="완료",2,1)),"")</x:f>
      </x:c>
      <x:c r="J68" s="55" t="str">
        <x:f>IF(AND(J$8&gt;='작업 관리'!$E68,J$8&lt;='작업 관리'!$F68),IF('작업 관리'!$I68="마일스톤",3,IF('작업 관리'!$G68="완료",2,1)),"")</x:f>
      </x:c>
      <x:c r="K68" s="55" t="str">
        <x:f>IF(AND(K$8&gt;='작업 관리'!$E68,K$8&lt;='작업 관리'!$F68),IF('작업 관리'!$I68="마일스톤",3,IF('작업 관리'!$G68="완료",2,1)),"")</x:f>
      </x:c>
      <x:c r="L68" s="55" t="str">
        <x:f>IF(AND(L$8&gt;='작업 관리'!$E68,L$8&lt;='작업 관리'!$F68),IF('작업 관리'!$I68="마일스톤",3,IF('작업 관리'!$G68="완료",2,1)),"")</x:f>
      </x:c>
      <x:c r="M68" s="55" t="str">
        <x:f>IF(AND(M$8&gt;='작업 관리'!$E68,M$8&lt;='작업 관리'!$F68),IF('작업 관리'!$I68="마일스톤",3,IF('작업 관리'!$G68="완료",2,1)),"")</x:f>
      </x:c>
      <x:c r="N68" s="56" t="str">
        <x:f>IF(AND(N$8&gt;='작업 관리'!$E68,N$8&lt;='작업 관리'!$F68),IF('작업 관리'!$I68="마일스톤",3,IF('작업 관리'!$G68="완료",2,1)),"")</x:f>
      </x:c>
      <x:c r="O68" s="56" t="str">
        <x:f>IF(AND(O$8&gt;='작업 관리'!$E68,O$8&lt;='작업 관리'!$F68),IF('작업 관리'!$I68="마일스톤",3,IF('작업 관리'!$G68="완료",2,1)),"")</x:f>
      </x:c>
      <x:c r="P68" s="55" t="n">
        <x:f>IF(AND(P$8&gt;='작업 관리'!$E68,P$8&lt;='작업 관리'!$F68),IF('작업 관리'!$I68="마일스톤",3,IF('작업 관리'!$G68="완료",2,1)),"")</x:f>
        <x:v>1</x:v>
      </x:c>
      <x:c r="Q68" s="55" t="str">
        <x:f>IF(AND(Q$8&gt;='작업 관리'!$E68,Q$8&lt;='작업 관리'!$F68),IF('작업 관리'!$I68="마일스톤",3,IF('작업 관리'!$G68="완료",2,1)),"")</x:f>
      </x:c>
      <x:c r="R68" s="55" t="str">
        <x:f>IF(AND(R$8&gt;='작업 관리'!$E68,R$8&lt;='작업 관리'!$F68),IF('작업 관리'!$I68="마일스톤",3,IF('작업 관리'!$G68="완료",2,1)),"")</x:f>
      </x:c>
      <x:c r="S68" s="55" t="str">
        <x:f>IF(AND(S$8&gt;='작업 관리'!$E68,S$8&lt;='작업 관리'!$F68),IF('작업 관리'!$I68="마일스톤",3,IF('작업 관리'!$G68="완료",2,1)),"")</x:f>
      </x:c>
    </x:row>
    <x:row r="69" ht="48" customHeight="1">
      <x:c r="A69" s="83" t="str">
        <x:f>'작업 관리'!A69</x:f>
        <x:v>5.6</x:v>
      </x:c>
      <x:c r="B69" s="16" t="str">
        <x:f>'작업 관리'!C69</x:f>
        <x:v>검증 보고서와 최종 범위 고정</x:v>
      </x:c>
      <x:c r="C69" s="14" t="str">
        <x:f>'작업 관리'!D69</x:f>
        <x:v>김동혁</x:v>
      </x:c>
      <x:c r="D69" s="55" t="str">
        <x:f>IF(AND(D$8&gt;='작업 관리'!$E69,D$8&lt;='작업 관리'!$F69),IF('작업 관리'!$I69="마일스톤",3,IF('작업 관리'!$G69="완료",2,1)),"")</x:f>
      </x:c>
      <x:c r="E69" s="55" t="str">
        <x:f>IF(AND(E$8&gt;='작업 관리'!$E69,E$8&lt;='작업 관리'!$F69),IF('작업 관리'!$I69="마일스톤",3,IF('작업 관리'!$G69="완료",2,1)),"")</x:f>
      </x:c>
      <x:c r="F69" s="55" t="str">
        <x:f>IF(AND(F$8&gt;='작업 관리'!$E69,F$8&lt;='작업 관리'!$F69),IF('작업 관리'!$I69="마일스톤",3,IF('작업 관리'!$G69="완료",2,1)),"")</x:f>
      </x:c>
      <x:c r="G69" s="56" t="str">
        <x:f>IF(AND(G$8&gt;='작업 관리'!$E69,G$8&lt;='작업 관리'!$F69),IF('작업 관리'!$I69="마일스톤",3,IF('작업 관리'!$G69="완료",2,1)),"")</x:f>
      </x:c>
      <x:c r="H69" s="56" t="str">
        <x:f>IF(AND(H$8&gt;='작업 관리'!$E69,H$8&lt;='작업 관리'!$F69),IF('작업 관리'!$I69="마일스톤",3,IF('작업 관리'!$G69="완료",2,1)),"")</x:f>
      </x:c>
      <x:c r="I69" s="55" t="str">
        <x:f>IF(AND(I$8&gt;='작업 관리'!$E69,I$8&lt;='작업 관리'!$F69),IF('작업 관리'!$I69="마일스톤",3,IF('작업 관리'!$G69="완료",2,1)),"")</x:f>
      </x:c>
      <x:c r="J69" s="55" t="str">
        <x:f>IF(AND(J$8&gt;='작업 관리'!$E69,J$8&lt;='작업 관리'!$F69),IF('작업 관리'!$I69="마일스톤",3,IF('작업 관리'!$G69="완료",2,1)),"")</x:f>
      </x:c>
      <x:c r="K69" s="55" t="str">
        <x:f>IF(AND(K$8&gt;='작업 관리'!$E69,K$8&lt;='작업 관리'!$F69),IF('작업 관리'!$I69="마일스톤",3,IF('작업 관리'!$G69="완료",2,1)),"")</x:f>
      </x:c>
      <x:c r="L69" s="55" t="str">
        <x:f>IF(AND(L$8&gt;='작업 관리'!$E69,L$8&lt;='작업 관리'!$F69),IF('작업 관리'!$I69="마일스톤",3,IF('작업 관리'!$G69="완료",2,1)),"")</x:f>
      </x:c>
      <x:c r="M69" s="55" t="str">
        <x:f>IF(AND(M$8&gt;='작업 관리'!$E69,M$8&lt;='작업 관리'!$F69),IF('작업 관리'!$I69="마일스톤",3,IF('작업 관리'!$G69="완료",2,1)),"")</x:f>
      </x:c>
      <x:c r="N69" s="56" t="str">
        <x:f>IF(AND(N$8&gt;='작업 관리'!$E69,N$8&lt;='작업 관리'!$F69),IF('작업 관리'!$I69="마일스톤",3,IF('작업 관리'!$G69="완료",2,1)),"")</x:f>
      </x:c>
      <x:c r="O69" s="56" t="str">
        <x:f>IF(AND(O$8&gt;='작업 관리'!$E69,O$8&lt;='작업 관리'!$F69),IF('작업 관리'!$I69="마일스톤",3,IF('작업 관리'!$G69="완료",2,1)),"")</x:f>
      </x:c>
      <x:c r="P69" s="55" t="n">
        <x:f>IF(AND(P$8&gt;='작업 관리'!$E69,P$8&lt;='작업 관리'!$F69),IF('작업 관리'!$I69="마일스톤",3,IF('작업 관리'!$G69="완료",2,1)),"")</x:f>
        <x:v>1</x:v>
      </x:c>
      <x:c r="Q69" s="55" t="str">
        <x:f>IF(AND(Q$8&gt;='작업 관리'!$E69,Q$8&lt;='작업 관리'!$F69),IF('작업 관리'!$I69="마일스톤",3,IF('작업 관리'!$G69="완료",2,1)),"")</x:f>
      </x:c>
      <x:c r="R69" s="55" t="str">
        <x:f>IF(AND(R$8&gt;='작업 관리'!$E69,R$8&lt;='작업 관리'!$F69),IF('작업 관리'!$I69="마일스톤",3,IF('작업 관리'!$G69="완료",2,1)),"")</x:f>
      </x:c>
      <x:c r="S69" s="55" t="str">
        <x:f>IF(AND(S$8&gt;='작업 관리'!$E69,S$8&lt;='작업 관리'!$F69),IF('작업 관리'!$I69="마일스톤",3,IF('작업 관리'!$G69="완료",2,1)),"")</x:f>
      </x:c>
    </x:row>
    <x:row r="70" ht="48" customHeight="1">
      <x:c r="A70" s="83" t="str">
        <x:f>'작업 관리'!A70</x:f>
        <x:v>5.M4</x:v>
      </x:c>
      <x:c r="B70" s="16" t="str">
        <x:f>'작업 관리'!C70</x:f>
        <x:v>핵심 구현과 검증 마감</x:v>
      </x:c>
      <x:c r="C70" s="14" t="str">
        <x:f>'작업 관리'!D70</x:f>
        <x:v>김동혁</x:v>
      </x:c>
      <x:c r="D70" s="55" t="str">
        <x:f>IF(AND(D$8&gt;='작업 관리'!$E70,D$8&lt;='작업 관리'!$F70),IF('작업 관리'!$I70="마일스톤",3,IF('작업 관리'!$G70="완료",2,1)),"")</x:f>
      </x:c>
      <x:c r="E70" s="55" t="str">
        <x:f>IF(AND(E$8&gt;='작업 관리'!$E70,E$8&lt;='작업 관리'!$F70),IF('작업 관리'!$I70="마일스톤",3,IF('작업 관리'!$G70="완료",2,1)),"")</x:f>
      </x:c>
      <x:c r="F70" s="55" t="str">
        <x:f>IF(AND(F$8&gt;='작업 관리'!$E70,F$8&lt;='작업 관리'!$F70),IF('작업 관리'!$I70="마일스톤",3,IF('작업 관리'!$G70="완료",2,1)),"")</x:f>
      </x:c>
      <x:c r="G70" s="56" t="str">
        <x:f>IF(AND(G$8&gt;='작업 관리'!$E70,G$8&lt;='작업 관리'!$F70),IF('작업 관리'!$I70="마일스톤",3,IF('작업 관리'!$G70="완료",2,1)),"")</x:f>
      </x:c>
      <x:c r="H70" s="56" t="str">
        <x:f>IF(AND(H$8&gt;='작업 관리'!$E70,H$8&lt;='작업 관리'!$F70),IF('작업 관리'!$I70="마일스톤",3,IF('작업 관리'!$G70="완료",2,1)),"")</x:f>
      </x:c>
      <x:c r="I70" s="55" t="str">
        <x:f>IF(AND(I$8&gt;='작업 관리'!$E70,I$8&lt;='작업 관리'!$F70),IF('작업 관리'!$I70="마일스톤",3,IF('작업 관리'!$G70="완료",2,1)),"")</x:f>
      </x:c>
      <x:c r="J70" s="55" t="str">
        <x:f>IF(AND(J$8&gt;='작업 관리'!$E70,J$8&lt;='작업 관리'!$F70),IF('작업 관리'!$I70="마일스톤",3,IF('작업 관리'!$G70="완료",2,1)),"")</x:f>
      </x:c>
      <x:c r="K70" s="55" t="str">
        <x:f>IF(AND(K$8&gt;='작업 관리'!$E70,K$8&lt;='작업 관리'!$F70),IF('작업 관리'!$I70="마일스톤",3,IF('작업 관리'!$G70="완료",2,1)),"")</x:f>
      </x:c>
      <x:c r="L70" s="55" t="str">
        <x:f>IF(AND(L$8&gt;='작업 관리'!$E70,L$8&lt;='작업 관리'!$F70),IF('작업 관리'!$I70="마일스톤",3,IF('작업 관리'!$G70="완료",2,1)),"")</x:f>
      </x:c>
      <x:c r="M70" s="55" t="str">
        <x:f>IF(AND(M$8&gt;='작업 관리'!$E70,M$8&lt;='작업 관리'!$F70),IF('작업 관리'!$I70="마일스톤",3,IF('작업 관리'!$G70="완료",2,1)),"")</x:f>
      </x:c>
      <x:c r="N70" s="56" t="str">
        <x:f>IF(AND(N$8&gt;='작업 관리'!$E70,N$8&lt;='작업 관리'!$F70),IF('작업 관리'!$I70="마일스톤",3,IF('작업 관리'!$G70="완료",2,1)),"")</x:f>
      </x:c>
      <x:c r="O70" s="56" t="str">
        <x:f>IF(AND(O$8&gt;='작업 관리'!$E70,O$8&lt;='작업 관리'!$F70),IF('작업 관리'!$I70="마일스톤",3,IF('작업 관리'!$G70="완료",2,1)),"")</x:f>
      </x:c>
      <x:c r="P70" s="55" t="n">
        <x:f>IF(AND(P$8&gt;='작업 관리'!$E70,P$8&lt;='작업 관리'!$F70),IF('작업 관리'!$I70="마일스톤",3,IF('작업 관리'!$G70="완료",2,1)),"")</x:f>
        <x:v>3</x:v>
      </x:c>
      <x:c r="Q70" s="55" t="str">
        <x:f>IF(AND(Q$8&gt;='작업 관리'!$E70,Q$8&lt;='작업 관리'!$F70),IF('작업 관리'!$I70="마일스톤",3,IF('작업 관리'!$G70="완료",2,1)),"")</x:f>
      </x:c>
      <x:c r="R70" s="55" t="str">
        <x:f>IF(AND(R$8&gt;='작업 관리'!$E70,R$8&lt;='작업 관리'!$F70),IF('작업 관리'!$I70="마일스톤",3,IF('작업 관리'!$G70="완료",2,1)),"")</x:f>
      </x:c>
      <x:c r="S70" s="55" t="str">
        <x:f>IF(AND(S$8&gt;='작업 관리'!$E70,S$8&lt;='작업 관리'!$F70),IF('작업 관리'!$I70="마일스톤",3,IF('작업 관리'!$G70="완료",2,1)),"")</x:f>
      </x:c>
    </x:row>
    <x:row r="71" ht="48" customHeight="1">
      <x:c r="A71" s="83" t="str">
        <x:f>'작업 관리'!A71</x:f>
        <x:v>6.1</x:v>
      </x:c>
      <x:c r="B71" s="16" t="str">
        <x:f>'작업 관리'!C71</x:f>
        <x:v>실행 안내와 데이터 문서 정리</x:v>
      </x:c>
      <x:c r="C71" s="14" t="str">
        <x:f>'작업 관리'!D71</x:f>
        <x:v>김동민</x:v>
      </x:c>
      <x:c r="D71" s="55" t="str">
        <x:f>IF(AND(D$8&gt;='작업 관리'!$E71,D$8&lt;='작업 관리'!$F71),IF('작업 관리'!$I71="마일스톤",3,IF('작업 관리'!$G71="완료",2,1)),"")</x:f>
      </x:c>
      <x:c r="E71" s="55" t="str">
        <x:f>IF(AND(E$8&gt;='작업 관리'!$E71,E$8&lt;='작업 관리'!$F71),IF('작업 관리'!$I71="마일스톤",3,IF('작업 관리'!$G71="완료",2,1)),"")</x:f>
      </x:c>
      <x:c r="F71" s="55" t="str">
        <x:f>IF(AND(F$8&gt;='작업 관리'!$E71,F$8&lt;='작업 관리'!$F71),IF('작업 관리'!$I71="마일스톤",3,IF('작업 관리'!$G71="완료",2,1)),"")</x:f>
      </x:c>
      <x:c r="G71" s="56" t="str">
        <x:f>IF(AND(G$8&gt;='작업 관리'!$E71,G$8&lt;='작업 관리'!$F71),IF('작업 관리'!$I71="마일스톤",3,IF('작업 관리'!$G71="완료",2,1)),"")</x:f>
      </x:c>
      <x:c r="H71" s="56" t="str">
        <x:f>IF(AND(H$8&gt;='작업 관리'!$E71,H$8&lt;='작업 관리'!$F71),IF('작업 관리'!$I71="마일스톤",3,IF('작업 관리'!$G71="완료",2,1)),"")</x:f>
      </x:c>
      <x:c r="I71" s="55" t="str">
        <x:f>IF(AND(I$8&gt;='작업 관리'!$E71,I$8&lt;='작업 관리'!$F71),IF('작업 관리'!$I71="마일스톤",3,IF('작업 관리'!$G71="완료",2,1)),"")</x:f>
      </x:c>
      <x:c r="J71" s="55" t="str">
        <x:f>IF(AND(J$8&gt;='작업 관리'!$E71,J$8&lt;='작업 관리'!$F71),IF('작업 관리'!$I71="마일스톤",3,IF('작업 관리'!$G71="완료",2,1)),"")</x:f>
      </x:c>
      <x:c r="K71" s="55" t="str">
        <x:f>IF(AND(K$8&gt;='작업 관리'!$E71,K$8&lt;='작업 관리'!$F71),IF('작업 관리'!$I71="마일스톤",3,IF('작업 관리'!$G71="완료",2,1)),"")</x:f>
      </x:c>
      <x:c r="L71" s="55" t="str">
        <x:f>IF(AND(L$8&gt;='작업 관리'!$E71,L$8&lt;='작업 관리'!$F71),IF('작업 관리'!$I71="마일스톤",3,IF('작업 관리'!$G71="완료",2,1)),"")</x:f>
      </x:c>
      <x:c r="M71" s="55" t="str">
        <x:f>IF(AND(M$8&gt;='작업 관리'!$E71,M$8&lt;='작업 관리'!$F71),IF('작업 관리'!$I71="마일스톤",3,IF('작업 관리'!$G71="완료",2,1)),"")</x:f>
      </x:c>
      <x:c r="N71" s="56" t="str">
        <x:f>IF(AND(N$8&gt;='작업 관리'!$E71,N$8&lt;='작업 관리'!$F71),IF('작업 관리'!$I71="마일스톤",3,IF('작업 관리'!$G71="완료",2,1)),"")</x:f>
      </x:c>
      <x:c r="O71" s="56" t="str">
        <x:f>IF(AND(O$8&gt;='작업 관리'!$E71,O$8&lt;='작업 관리'!$F71),IF('작업 관리'!$I71="마일스톤",3,IF('작업 관리'!$G71="완료",2,1)),"")</x:f>
      </x:c>
      <x:c r="P71" s="55" t="str">
        <x:f>IF(AND(P$8&gt;='작업 관리'!$E71,P$8&lt;='작업 관리'!$F71),IF('작업 관리'!$I71="마일스톤",3,IF('작업 관리'!$G71="완료",2,1)),"")</x:f>
      </x:c>
      <x:c r="Q71" s="55" t="n">
        <x:f>IF(AND(Q$8&gt;='작업 관리'!$E71,Q$8&lt;='작업 관리'!$F71),IF('작업 관리'!$I71="마일스톤",3,IF('작업 관리'!$G71="완료",2,1)),"")</x:f>
        <x:v>1</x:v>
      </x:c>
      <x:c r="R71" s="55" t="str">
        <x:f>IF(AND(R$8&gt;='작업 관리'!$E71,R$8&lt;='작업 관리'!$F71),IF('작업 관리'!$I71="마일스톤",3,IF('작업 관리'!$G71="완료",2,1)),"")</x:f>
      </x:c>
      <x:c r="S71" s="55" t="str">
        <x:f>IF(AND(S$8&gt;='작업 관리'!$E71,S$8&lt;='작업 관리'!$F71),IF('작업 관리'!$I71="마일스톤",3,IF('작업 관리'!$G71="완료",2,1)),"")</x:f>
      </x:c>
    </x:row>
    <x:row r="72" ht="48" customHeight="1">
      <x:c r="A72" s="83" t="str">
        <x:f>'작업 관리'!A72</x:f>
        <x:v>6.2</x:v>
      </x:c>
      <x:c r="B72" s="16" t="str">
        <x:f>'작업 관리'!C72</x:f>
        <x:v>발표자료와 스토리 최종 반영</x:v>
      </x:c>
      <x:c r="C72" s="14" t="str">
        <x:f>'작업 관리'!D72</x:f>
        <x:v>오준탁</x:v>
      </x:c>
      <x:c r="D72" s="55" t="str">
        <x:f>IF(AND(D$8&gt;='작업 관리'!$E72,D$8&lt;='작업 관리'!$F72),IF('작업 관리'!$I72="마일스톤",3,IF('작업 관리'!$G72="완료",2,1)),"")</x:f>
      </x:c>
      <x:c r="E72" s="55" t="str">
        <x:f>IF(AND(E$8&gt;='작업 관리'!$E72,E$8&lt;='작업 관리'!$F72),IF('작업 관리'!$I72="마일스톤",3,IF('작업 관리'!$G72="완료",2,1)),"")</x:f>
      </x:c>
      <x:c r="F72" s="55" t="str">
        <x:f>IF(AND(F$8&gt;='작업 관리'!$E72,F$8&lt;='작업 관리'!$F72),IF('작업 관리'!$I72="마일스톤",3,IF('작업 관리'!$G72="완료",2,1)),"")</x:f>
      </x:c>
      <x:c r="G72" s="56" t="str">
        <x:f>IF(AND(G$8&gt;='작업 관리'!$E72,G$8&lt;='작업 관리'!$F72),IF('작업 관리'!$I72="마일스톤",3,IF('작업 관리'!$G72="완료",2,1)),"")</x:f>
      </x:c>
      <x:c r="H72" s="56" t="str">
        <x:f>IF(AND(H$8&gt;='작업 관리'!$E72,H$8&lt;='작업 관리'!$F72),IF('작업 관리'!$I72="마일스톤",3,IF('작업 관리'!$G72="완료",2,1)),"")</x:f>
      </x:c>
      <x:c r="I72" s="55" t="str">
        <x:f>IF(AND(I$8&gt;='작업 관리'!$E72,I$8&lt;='작업 관리'!$F72),IF('작업 관리'!$I72="마일스톤",3,IF('작업 관리'!$G72="완료",2,1)),"")</x:f>
      </x:c>
      <x:c r="J72" s="55" t="str">
        <x:f>IF(AND(J$8&gt;='작업 관리'!$E72,J$8&lt;='작업 관리'!$F72),IF('작업 관리'!$I72="마일스톤",3,IF('작업 관리'!$G72="완료",2,1)),"")</x:f>
      </x:c>
      <x:c r="K72" s="55" t="str">
        <x:f>IF(AND(K$8&gt;='작업 관리'!$E72,K$8&lt;='작업 관리'!$F72),IF('작업 관리'!$I72="마일스톤",3,IF('작업 관리'!$G72="완료",2,1)),"")</x:f>
      </x:c>
      <x:c r="L72" s="55" t="str">
        <x:f>IF(AND(L$8&gt;='작업 관리'!$E72,L$8&lt;='작업 관리'!$F72),IF('작업 관리'!$I72="마일스톤",3,IF('작업 관리'!$G72="완료",2,1)),"")</x:f>
      </x:c>
      <x:c r="M72" s="55" t="str">
        <x:f>IF(AND(M$8&gt;='작업 관리'!$E72,M$8&lt;='작업 관리'!$F72),IF('작업 관리'!$I72="마일스톤",3,IF('작업 관리'!$G72="완료",2,1)),"")</x:f>
      </x:c>
      <x:c r="N72" s="56" t="str">
        <x:f>IF(AND(N$8&gt;='작업 관리'!$E72,N$8&lt;='작업 관리'!$F72),IF('작업 관리'!$I72="마일스톤",3,IF('작업 관리'!$G72="완료",2,1)),"")</x:f>
      </x:c>
      <x:c r="O72" s="56" t="str">
        <x:f>IF(AND(O$8&gt;='작업 관리'!$E72,O$8&lt;='작업 관리'!$F72),IF('작업 관리'!$I72="마일스톤",3,IF('작업 관리'!$G72="완료",2,1)),"")</x:f>
      </x:c>
      <x:c r="P72" s="55" t="str">
        <x:f>IF(AND(P$8&gt;='작업 관리'!$E72,P$8&lt;='작업 관리'!$F72),IF('작업 관리'!$I72="마일스톤",3,IF('작업 관리'!$G72="완료",2,1)),"")</x:f>
      </x:c>
      <x:c r="Q72" s="55" t="n">
        <x:f>IF(AND(Q$8&gt;='작업 관리'!$E72,Q$8&lt;='작업 관리'!$F72),IF('작업 관리'!$I72="마일스톤",3,IF('작업 관리'!$G72="완료",2,1)),"")</x:f>
        <x:v>1</x:v>
      </x:c>
      <x:c r="R72" s="55" t="str">
        <x:f>IF(AND(R$8&gt;='작업 관리'!$E72,R$8&lt;='작업 관리'!$F72),IF('작업 관리'!$I72="마일스톤",3,IF('작업 관리'!$G72="완료",2,1)),"")</x:f>
      </x:c>
      <x:c r="S72" s="55" t="str">
        <x:f>IF(AND(S$8&gt;='작업 관리'!$E72,S$8&lt;='작업 관리'!$F72),IF('작업 관리'!$I72="마일스톤",3,IF('작업 관리'!$G72="완료",2,1)),"")</x:f>
      </x:c>
    </x:row>
    <x:row r="73" ht="48" customHeight="1">
      <x:c r="A73" s="83" t="str">
        <x:f>'작업 관리'!A73</x:f>
        <x:v>6.3</x:v>
      </x:c>
      <x:c r="B73" s="16" t="str">
        <x:f>'작업 관리'!C73</x:f>
        <x:v>시연 영상과 예비 시연 준비</x:v>
      </x:c>
      <x:c r="C73" s="14" t="str">
        <x:f>'작업 관리'!D73</x:f>
        <x:v>서종원</x:v>
      </x:c>
      <x:c r="D73" s="55" t="str">
        <x:f>IF(AND(D$8&gt;='작업 관리'!$E73,D$8&lt;='작업 관리'!$F73),IF('작업 관리'!$I73="마일스톤",3,IF('작업 관리'!$G73="완료",2,1)),"")</x:f>
      </x:c>
      <x:c r="E73" s="55" t="str">
        <x:f>IF(AND(E$8&gt;='작업 관리'!$E73,E$8&lt;='작업 관리'!$F73),IF('작업 관리'!$I73="마일스톤",3,IF('작업 관리'!$G73="완료",2,1)),"")</x:f>
      </x:c>
      <x:c r="F73" s="55" t="str">
        <x:f>IF(AND(F$8&gt;='작업 관리'!$E73,F$8&lt;='작업 관리'!$F73),IF('작업 관리'!$I73="마일스톤",3,IF('작업 관리'!$G73="완료",2,1)),"")</x:f>
      </x:c>
      <x:c r="G73" s="56" t="str">
        <x:f>IF(AND(G$8&gt;='작업 관리'!$E73,G$8&lt;='작업 관리'!$F73),IF('작업 관리'!$I73="마일스톤",3,IF('작업 관리'!$G73="완료",2,1)),"")</x:f>
      </x:c>
      <x:c r="H73" s="56" t="str">
        <x:f>IF(AND(H$8&gt;='작업 관리'!$E73,H$8&lt;='작업 관리'!$F73),IF('작업 관리'!$I73="마일스톤",3,IF('작업 관리'!$G73="완료",2,1)),"")</x:f>
      </x:c>
      <x:c r="I73" s="55" t="str">
        <x:f>IF(AND(I$8&gt;='작업 관리'!$E73,I$8&lt;='작업 관리'!$F73),IF('작업 관리'!$I73="마일스톤",3,IF('작업 관리'!$G73="완료",2,1)),"")</x:f>
      </x:c>
      <x:c r="J73" s="55" t="str">
        <x:f>IF(AND(J$8&gt;='작업 관리'!$E73,J$8&lt;='작업 관리'!$F73),IF('작업 관리'!$I73="마일스톤",3,IF('작업 관리'!$G73="완료",2,1)),"")</x:f>
      </x:c>
      <x:c r="K73" s="55" t="str">
        <x:f>IF(AND(K$8&gt;='작업 관리'!$E73,K$8&lt;='작업 관리'!$F73),IF('작업 관리'!$I73="마일스톤",3,IF('작업 관리'!$G73="완료",2,1)),"")</x:f>
      </x:c>
      <x:c r="L73" s="55" t="str">
        <x:f>IF(AND(L$8&gt;='작업 관리'!$E73,L$8&lt;='작업 관리'!$F73),IF('작업 관리'!$I73="마일스톤",3,IF('작업 관리'!$G73="완료",2,1)),"")</x:f>
      </x:c>
      <x:c r="M73" s="55" t="str">
        <x:f>IF(AND(M$8&gt;='작업 관리'!$E73,M$8&lt;='작업 관리'!$F73),IF('작업 관리'!$I73="마일스톤",3,IF('작업 관리'!$G73="완료",2,1)),"")</x:f>
      </x:c>
      <x:c r="N73" s="56" t="str">
        <x:f>IF(AND(N$8&gt;='작업 관리'!$E73,N$8&lt;='작업 관리'!$F73),IF('작업 관리'!$I73="마일스톤",3,IF('작업 관리'!$G73="완료",2,1)),"")</x:f>
      </x:c>
      <x:c r="O73" s="56" t="str">
        <x:f>IF(AND(O$8&gt;='작업 관리'!$E73,O$8&lt;='작업 관리'!$F73),IF('작업 관리'!$I73="마일스톤",3,IF('작업 관리'!$G73="완료",2,1)),"")</x:f>
      </x:c>
      <x:c r="P73" s="55" t="str">
        <x:f>IF(AND(P$8&gt;='작업 관리'!$E73,P$8&lt;='작업 관리'!$F73),IF('작업 관리'!$I73="마일스톤",3,IF('작업 관리'!$G73="완료",2,1)),"")</x:f>
      </x:c>
      <x:c r="Q73" s="55" t="str">
        <x:f>IF(AND(Q$8&gt;='작업 관리'!$E73,Q$8&lt;='작업 관리'!$F73),IF('작업 관리'!$I73="마일스톤",3,IF('작업 관리'!$G73="완료",2,1)),"")</x:f>
      </x:c>
      <x:c r="R73" s="55" t="n">
        <x:f>IF(AND(R$8&gt;='작업 관리'!$E73,R$8&lt;='작업 관리'!$F73),IF('작업 관리'!$I73="마일스톤",3,IF('작업 관리'!$G73="완료",2,1)),"")</x:f>
        <x:v>1</x:v>
      </x:c>
      <x:c r="S73" s="55" t="str">
        <x:f>IF(AND(S$8&gt;='작업 관리'!$E73,S$8&lt;='작업 관리'!$F73),IF('작업 관리'!$I73="마일스톤",3,IF('작업 관리'!$G73="완료",2,1)),"")</x:f>
      </x:c>
    </x:row>
    <x:row r="74" ht="48" customHeight="1">
      <x:c r="A74" s="83" t="str">
        <x:f>'작업 관리'!A74</x:f>
        <x:v>6.4</x:v>
      </x:c>
      <x:c r="B74" s="16" t="str">
        <x:f>'작업 관리'!C74</x:f>
        <x:v>제출 파일과 재현성 점검</x:v>
      </x:c>
      <x:c r="C74" s="14" t="str">
        <x:f>'작업 관리'!D74</x:f>
        <x:v>김동혁</x:v>
      </x:c>
      <x:c r="D74" s="55" t="str">
        <x:f>IF(AND(D$8&gt;='작업 관리'!$E74,D$8&lt;='작업 관리'!$F74),IF('작업 관리'!$I74="마일스톤",3,IF('작업 관리'!$G74="완료",2,1)),"")</x:f>
      </x:c>
      <x:c r="E74" s="55" t="str">
        <x:f>IF(AND(E$8&gt;='작업 관리'!$E74,E$8&lt;='작업 관리'!$F74),IF('작업 관리'!$I74="마일스톤",3,IF('작업 관리'!$G74="완료",2,1)),"")</x:f>
      </x:c>
      <x:c r="F74" s="55" t="str">
        <x:f>IF(AND(F$8&gt;='작업 관리'!$E74,F$8&lt;='작업 관리'!$F74),IF('작업 관리'!$I74="마일스톤",3,IF('작업 관리'!$G74="완료",2,1)),"")</x:f>
      </x:c>
      <x:c r="G74" s="56" t="str">
        <x:f>IF(AND(G$8&gt;='작업 관리'!$E74,G$8&lt;='작업 관리'!$F74),IF('작업 관리'!$I74="마일스톤",3,IF('작업 관리'!$G74="완료",2,1)),"")</x:f>
      </x:c>
      <x:c r="H74" s="56" t="str">
        <x:f>IF(AND(H$8&gt;='작업 관리'!$E74,H$8&lt;='작업 관리'!$F74),IF('작업 관리'!$I74="마일스톤",3,IF('작업 관리'!$G74="완료",2,1)),"")</x:f>
      </x:c>
      <x:c r="I74" s="55" t="str">
        <x:f>IF(AND(I$8&gt;='작업 관리'!$E74,I$8&lt;='작업 관리'!$F74),IF('작업 관리'!$I74="마일스톤",3,IF('작업 관리'!$G74="완료",2,1)),"")</x:f>
      </x:c>
      <x:c r="J74" s="55" t="str">
        <x:f>IF(AND(J$8&gt;='작업 관리'!$E74,J$8&lt;='작업 관리'!$F74),IF('작업 관리'!$I74="마일스톤",3,IF('작업 관리'!$G74="완료",2,1)),"")</x:f>
      </x:c>
      <x:c r="K74" s="55" t="str">
        <x:f>IF(AND(K$8&gt;='작업 관리'!$E74,K$8&lt;='작업 관리'!$F74),IF('작업 관리'!$I74="마일스톤",3,IF('작업 관리'!$G74="완료",2,1)),"")</x:f>
      </x:c>
      <x:c r="L74" s="55" t="str">
        <x:f>IF(AND(L$8&gt;='작업 관리'!$E74,L$8&lt;='작업 관리'!$F74),IF('작업 관리'!$I74="마일스톤",3,IF('작업 관리'!$G74="완료",2,1)),"")</x:f>
      </x:c>
      <x:c r="M74" s="55" t="str">
        <x:f>IF(AND(M$8&gt;='작업 관리'!$E74,M$8&lt;='작업 관리'!$F74),IF('작업 관리'!$I74="마일스톤",3,IF('작업 관리'!$G74="완료",2,1)),"")</x:f>
      </x:c>
      <x:c r="N74" s="56" t="str">
        <x:f>IF(AND(N$8&gt;='작업 관리'!$E74,N$8&lt;='작업 관리'!$F74),IF('작업 관리'!$I74="마일스톤",3,IF('작업 관리'!$G74="완료",2,1)),"")</x:f>
      </x:c>
      <x:c r="O74" s="56" t="str">
        <x:f>IF(AND(O$8&gt;='작업 관리'!$E74,O$8&lt;='작업 관리'!$F74),IF('작업 관리'!$I74="마일스톤",3,IF('작업 관리'!$G74="완료",2,1)),"")</x:f>
      </x:c>
      <x:c r="P74" s="55" t="str">
        <x:f>IF(AND(P$8&gt;='작업 관리'!$E74,P$8&lt;='작업 관리'!$F74),IF('작업 관리'!$I74="마일스톤",3,IF('작업 관리'!$G74="완료",2,1)),"")</x:f>
      </x:c>
      <x:c r="Q74" s="55" t="str">
        <x:f>IF(AND(Q$8&gt;='작업 관리'!$E74,Q$8&lt;='작업 관리'!$F74),IF('작업 관리'!$I74="마일스톤",3,IF('작업 관리'!$G74="완료",2,1)),"")</x:f>
      </x:c>
      <x:c r="R74" s="55" t="n">
        <x:f>IF(AND(R$8&gt;='작업 관리'!$E74,R$8&lt;='작업 관리'!$F74),IF('작업 관리'!$I74="마일스톤",3,IF('작업 관리'!$G74="완료",2,1)),"")</x:f>
        <x:v>1</x:v>
      </x:c>
      <x:c r="S74" s="55" t="str">
        <x:f>IF(AND(S$8&gt;='작업 관리'!$E74,S$8&lt;='작업 관리'!$F74),IF('작업 관리'!$I74="마일스톤",3,IF('작업 관리'!$G74="완료",2,1)),"")</x:f>
      </x:c>
    </x:row>
    <x:row r="75" ht="48" customHeight="1">
      <x:c r="A75" s="83" t="str">
        <x:f>'작업 관리'!A75</x:f>
        <x:v>6.5</x:v>
      </x:c>
      <x:c r="B75" s="16" t="str">
        <x:f>'작업 관리'!C75</x:f>
        <x:v>발표 리허설과 질의응답 준비</x:v>
      </x:c>
      <x:c r="C75" s="14" t="str">
        <x:f>'작업 관리'!D75</x:f>
        <x:v>오준탁</x:v>
      </x:c>
      <x:c r="D75" s="55" t="str">
        <x:f>IF(AND(D$8&gt;='작업 관리'!$E75,D$8&lt;='작업 관리'!$F75),IF('작업 관리'!$I75="마일스톤",3,IF('작업 관리'!$G75="완료",2,1)),"")</x:f>
      </x:c>
      <x:c r="E75" s="55" t="str">
        <x:f>IF(AND(E$8&gt;='작업 관리'!$E75,E$8&lt;='작업 관리'!$F75),IF('작업 관리'!$I75="마일스톤",3,IF('작업 관리'!$G75="완료",2,1)),"")</x:f>
      </x:c>
      <x:c r="F75" s="55" t="str">
        <x:f>IF(AND(F$8&gt;='작업 관리'!$E75,F$8&lt;='작업 관리'!$F75),IF('작업 관리'!$I75="마일스톤",3,IF('작업 관리'!$G75="완료",2,1)),"")</x:f>
      </x:c>
      <x:c r="G75" s="56" t="str">
        <x:f>IF(AND(G$8&gt;='작업 관리'!$E75,G$8&lt;='작업 관리'!$F75),IF('작업 관리'!$I75="마일스톤",3,IF('작업 관리'!$G75="완료",2,1)),"")</x:f>
      </x:c>
      <x:c r="H75" s="56" t="str">
        <x:f>IF(AND(H$8&gt;='작업 관리'!$E75,H$8&lt;='작업 관리'!$F75),IF('작업 관리'!$I75="마일스톤",3,IF('작업 관리'!$G75="완료",2,1)),"")</x:f>
      </x:c>
      <x:c r="I75" s="55" t="str">
        <x:f>IF(AND(I$8&gt;='작업 관리'!$E75,I$8&lt;='작업 관리'!$F75),IF('작업 관리'!$I75="마일스톤",3,IF('작업 관리'!$G75="완료",2,1)),"")</x:f>
      </x:c>
      <x:c r="J75" s="55" t="str">
        <x:f>IF(AND(J$8&gt;='작업 관리'!$E75,J$8&lt;='작업 관리'!$F75),IF('작업 관리'!$I75="마일스톤",3,IF('작업 관리'!$G75="완료",2,1)),"")</x:f>
      </x:c>
      <x:c r="K75" s="55" t="str">
        <x:f>IF(AND(K$8&gt;='작업 관리'!$E75,K$8&lt;='작업 관리'!$F75),IF('작업 관리'!$I75="마일스톤",3,IF('작업 관리'!$G75="완료",2,1)),"")</x:f>
      </x:c>
      <x:c r="L75" s="55" t="str">
        <x:f>IF(AND(L$8&gt;='작업 관리'!$E75,L$8&lt;='작업 관리'!$F75),IF('작업 관리'!$I75="마일스톤",3,IF('작업 관리'!$G75="완료",2,1)),"")</x:f>
      </x:c>
      <x:c r="M75" s="55" t="str">
        <x:f>IF(AND(M$8&gt;='작업 관리'!$E75,M$8&lt;='작업 관리'!$F75),IF('작업 관리'!$I75="마일스톤",3,IF('작업 관리'!$G75="완료",2,1)),"")</x:f>
      </x:c>
      <x:c r="N75" s="56" t="str">
        <x:f>IF(AND(N$8&gt;='작업 관리'!$E75,N$8&lt;='작업 관리'!$F75),IF('작업 관리'!$I75="마일스톤",3,IF('작업 관리'!$G75="완료",2,1)),"")</x:f>
      </x:c>
      <x:c r="O75" s="56" t="str">
        <x:f>IF(AND(O$8&gt;='작업 관리'!$E75,O$8&lt;='작업 관리'!$F75),IF('작업 관리'!$I75="마일스톤",3,IF('작업 관리'!$G75="완료",2,1)),"")</x:f>
      </x:c>
      <x:c r="P75" s="55" t="str">
        <x:f>IF(AND(P$8&gt;='작업 관리'!$E75,P$8&lt;='작업 관리'!$F75),IF('작업 관리'!$I75="마일스톤",3,IF('작업 관리'!$G75="완료",2,1)),"")</x:f>
      </x:c>
      <x:c r="Q75" s="55" t="str">
        <x:f>IF(AND(Q$8&gt;='작업 관리'!$E75,Q$8&lt;='작업 관리'!$F75),IF('작업 관리'!$I75="마일스톤",3,IF('작업 관리'!$G75="완료",2,1)),"")</x:f>
      </x:c>
      <x:c r="R75" s="55" t="n">
        <x:f>IF(AND(R$8&gt;='작업 관리'!$E75,R$8&lt;='작업 관리'!$F75),IF('작업 관리'!$I75="마일스톤",3,IF('작업 관리'!$G75="완료",2,1)),"")</x:f>
        <x:v>1</x:v>
      </x:c>
      <x:c r="S75" s="55" t="str">
        <x:f>IF(AND(S$8&gt;='작업 관리'!$E75,S$8&lt;='작업 관리'!$F75),IF('작업 관리'!$I75="마일스톤",3,IF('작업 관리'!$G75="완료",2,1)),"")</x:f>
      </x:c>
    </x:row>
    <x:row r="76" ht="48" customHeight="1">
      <x:c r="A76" s="83" t="str">
        <x:f>'작업 관리'!A76</x:f>
        <x:v>6.M5</x:v>
      </x:c>
      <x:c r="B76" s="16" t="str">
        <x:f>'작업 관리'!C76</x:f>
        <x:v>최종 산출물 제출</x:v>
      </x:c>
      <x:c r="C76" s="14" t="str">
        <x:f>'작업 관리'!D76</x:f>
        <x:v>김동혁</x:v>
      </x:c>
      <x:c r="D76" s="55" t="str">
        <x:f>IF(AND(D$8&gt;='작업 관리'!$E76,D$8&lt;='작업 관리'!$F76),IF('작업 관리'!$I76="마일스톤",3,IF('작업 관리'!$G76="완료",2,1)),"")</x:f>
      </x:c>
      <x:c r="E76" s="55" t="str">
        <x:f>IF(AND(E$8&gt;='작업 관리'!$E76,E$8&lt;='작업 관리'!$F76),IF('작업 관리'!$I76="마일스톤",3,IF('작업 관리'!$G76="완료",2,1)),"")</x:f>
      </x:c>
      <x:c r="F76" s="55" t="str">
        <x:f>IF(AND(F$8&gt;='작업 관리'!$E76,F$8&lt;='작업 관리'!$F76),IF('작업 관리'!$I76="마일스톤",3,IF('작업 관리'!$G76="완료",2,1)),"")</x:f>
      </x:c>
      <x:c r="G76" s="56" t="str">
        <x:f>IF(AND(G$8&gt;='작업 관리'!$E76,G$8&lt;='작업 관리'!$F76),IF('작업 관리'!$I76="마일스톤",3,IF('작업 관리'!$G76="완료",2,1)),"")</x:f>
      </x:c>
      <x:c r="H76" s="56" t="str">
        <x:f>IF(AND(H$8&gt;='작업 관리'!$E76,H$8&lt;='작업 관리'!$F76),IF('작업 관리'!$I76="마일스톤",3,IF('작업 관리'!$G76="완료",2,1)),"")</x:f>
      </x:c>
      <x:c r="I76" s="55" t="str">
        <x:f>IF(AND(I$8&gt;='작업 관리'!$E76,I$8&lt;='작업 관리'!$F76),IF('작업 관리'!$I76="마일스톤",3,IF('작업 관리'!$G76="완료",2,1)),"")</x:f>
      </x:c>
      <x:c r="J76" s="55" t="str">
        <x:f>IF(AND(J$8&gt;='작업 관리'!$E76,J$8&lt;='작업 관리'!$F76),IF('작업 관리'!$I76="마일스톤",3,IF('작업 관리'!$G76="완료",2,1)),"")</x:f>
      </x:c>
      <x:c r="K76" s="55" t="str">
        <x:f>IF(AND(K$8&gt;='작업 관리'!$E76,K$8&lt;='작업 관리'!$F76),IF('작업 관리'!$I76="마일스톤",3,IF('작업 관리'!$G76="완료",2,1)),"")</x:f>
      </x:c>
      <x:c r="L76" s="55" t="str">
        <x:f>IF(AND(L$8&gt;='작업 관리'!$E76,L$8&lt;='작업 관리'!$F76),IF('작업 관리'!$I76="마일스톤",3,IF('작업 관리'!$G76="완료",2,1)),"")</x:f>
      </x:c>
      <x:c r="M76" s="55" t="str">
        <x:f>IF(AND(M$8&gt;='작업 관리'!$E76,M$8&lt;='작업 관리'!$F76),IF('작업 관리'!$I76="마일스톤",3,IF('작업 관리'!$G76="완료",2,1)),"")</x:f>
      </x:c>
      <x:c r="N76" s="56" t="str">
        <x:f>IF(AND(N$8&gt;='작업 관리'!$E76,N$8&lt;='작업 관리'!$F76),IF('작업 관리'!$I76="마일스톤",3,IF('작업 관리'!$G76="완료",2,1)),"")</x:f>
      </x:c>
      <x:c r="O76" s="56" t="str">
        <x:f>IF(AND(O$8&gt;='작업 관리'!$E76,O$8&lt;='작업 관리'!$F76),IF('작업 관리'!$I76="마일스톤",3,IF('작업 관리'!$G76="완료",2,1)),"")</x:f>
      </x:c>
      <x:c r="P76" s="55" t="str">
        <x:f>IF(AND(P$8&gt;='작업 관리'!$E76,P$8&lt;='작업 관리'!$F76),IF('작업 관리'!$I76="마일스톤",3,IF('작업 관리'!$G76="완료",2,1)),"")</x:f>
      </x:c>
      <x:c r="Q76" s="55" t="str">
        <x:f>IF(AND(Q$8&gt;='작업 관리'!$E76,Q$8&lt;='작업 관리'!$F76),IF('작업 관리'!$I76="마일스톤",3,IF('작업 관리'!$G76="완료",2,1)),"")</x:f>
      </x:c>
      <x:c r="R76" s="55" t="str">
        <x:f>IF(AND(R$8&gt;='작업 관리'!$E76,R$8&lt;='작업 관리'!$F76),IF('작업 관리'!$I76="마일스톤",3,IF('작업 관리'!$G76="완료",2,1)),"")</x:f>
      </x:c>
      <x:c r="S76" s="55" t="n">
        <x:f>IF(AND(S$8&gt;='작업 관리'!$E76,S$8&lt;='작업 관리'!$F76),IF('작업 관리'!$I76="마일스톤",3,IF('작업 관리'!$G76="완료",2,1)),"")</x:f>
        <x:v>3</x:v>
      </x:c>
    </x:row>
    <x:row r="77" ht="48" customHeight="1">
      <x:c r="A77" s="83" t="str">
        <x:f>'작업 관리'!A77</x:f>
        <x:v>6.M6</x:v>
      </x:c>
      <x:c r="B77" s="16" t="str">
        <x:f>'작업 관리'!C77</x:f>
        <x:v>프로젝트 발표</x:v>
      </x:c>
      <x:c r="C77" s="14" t="str">
        <x:f>'작업 관리'!D77</x:f>
        <x:v>오준탁</x:v>
      </x:c>
      <x:c r="D77" s="55" t="str">
        <x:f>IF(AND(D$8&gt;='작업 관리'!$E77,D$8&lt;='작업 관리'!$F77),IF('작업 관리'!$I77="마일스톤",3,IF('작업 관리'!$G77="완료",2,1)),"")</x:f>
      </x:c>
      <x:c r="E77" s="55" t="str">
        <x:f>IF(AND(E$8&gt;='작업 관리'!$E77,E$8&lt;='작업 관리'!$F77),IF('작업 관리'!$I77="마일스톤",3,IF('작업 관리'!$G77="완료",2,1)),"")</x:f>
      </x:c>
      <x:c r="F77" s="55" t="str">
        <x:f>IF(AND(F$8&gt;='작업 관리'!$E77,F$8&lt;='작업 관리'!$F77),IF('작업 관리'!$I77="마일스톤",3,IF('작업 관리'!$G77="완료",2,1)),"")</x:f>
      </x:c>
      <x:c r="G77" s="56" t="str">
        <x:f>IF(AND(G$8&gt;='작업 관리'!$E77,G$8&lt;='작업 관리'!$F77),IF('작업 관리'!$I77="마일스톤",3,IF('작업 관리'!$G77="완료",2,1)),"")</x:f>
      </x:c>
      <x:c r="H77" s="56" t="str">
        <x:f>IF(AND(H$8&gt;='작업 관리'!$E77,H$8&lt;='작업 관리'!$F77),IF('작업 관리'!$I77="마일스톤",3,IF('작업 관리'!$G77="완료",2,1)),"")</x:f>
      </x:c>
      <x:c r="I77" s="55" t="str">
        <x:f>IF(AND(I$8&gt;='작업 관리'!$E77,I$8&lt;='작업 관리'!$F77),IF('작업 관리'!$I77="마일스톤",3,IF('작업 관리'!$G77="완료",2,1)),"")</x:f>
      </x:c>
      <x:c r="J77" s="55" t="str">
        <x:f>IF(AND(J$8&gt;='작업 관리'!$E77,J$8&lt;='작업 관리'!$F77),IF('작업 관리'!$I77="마일스톤",3,IF('작업 관리'!$G77="완료",2,1)),"")</x:f>
      </x:c>
      <x:c r="K77" s="55" t="str">
        <x:f>IF(AND(K$8&gt;='작업 관리'!$E77,K$8&lt;='작업 관리'!$F77),IF('작업 관리'!$I77="마일스톤",3,IF('작업 관리'!$G77="완료",2,1)),"")</x:f>
      </x:c>
      <x:c r="L77" s="55" t="str">
        <x:f>IF(AND(L$8&gt;='작업 관리'!$E77,L$8&lt;='작업 관리'!$F77),IF('작업 관리'!$I77="마일스톤",3,IF('작업 관리'!$G77="완료",2,1)),"")</x:f>
      </x:c>
      <x:c r="M77" s="55" t="str">
        <x:f>IF(AND(M$8&gt;='작업 관리'!$E77,M$8&lt;='작업 관리'!$F77),IF('작업 관리'!$I77="마일스톤",3,IF('작업 관리'!$G77="완료",2,1)),"")</x:f>
      </x:c>
      <x:c r="N77" s="56" t="str">
        <x:f>IF(AND(N$8&gt;='작업 관리'!$E77,N$8&lt;='작업 관리'!$F77),IF('작업 관리'!$I77="마일스톤",3,IF('작업 관리'!$G77="완료",2,1)),"")</x:f>
      </x:c>
      <x:c r="O77" s="56" t="str">
        <x:f>IF(AND(O$8&gt;='작업 관리'!$E77,O$8&lt;='작업 관리'!$F77),IF('작업 관리'!$I77="마일스톤",3,IF('작업 관리'!$G77="완료",2,1)),"")</x:f>
      </x:c>
      <x:c r="P77" s="55" t="str">
        <x:f>IF(AND(P$8&gt;='작업 관리'!$E77,P$8&lt;='작업 관리'!$F77),IF('작업 관리'!$I77="마일스톤",3,IF('작업 관리'!$G77="완료",2,1)),"")</x:f>
      </x:c>
      <x:c r="Q77" s="55" t="str">
        <x:f>IF(AND(Q$8&gt;='작업 관리'!$E77,Q$8&lt;='작업 관리'!$F77),IF('작업 관리'!$I77="마일스톤",3,IF('작업 관리'!$G77="완료",2,1)),"")</x:f>
      </x:c>
      <x:c r="R77" s="55" t="str">
        <x:f>IF(AND(R$8&gt;='작업 관리'!$E77,R$8&lt;='작업 관리'!$F77),IF('작업 관리'!$I77="마일스톤",3,IF('작업 관리'!$G77="완료",2,1)),"")</x:f>
      </x:c>
      <x:c r="S77" s="55" t="n">
        <x:f>IF(AND(S$8&gt;='작업 관리'!$E77,S$8&lt;='작업 관리'!$F77),IF('작업 관리'!$I77="마일스톤",3,IF('작업 관리'!$G77="완료",2,1)),"")</x:f>
        <x:v>3</x:v>
      </x:c>
    </x:row>
  </x:sheetData>
  <x:conditionalFormatting sqref="D9:S64">
    <x:cfRule type="cellIs" dxfId="8" priority="1" operator="equal">
      <x:formula>1</x:formula>
    </x:cfRule>
    <x:cfRule type="cellIs" dxfId="9" priority="2" operator="equal">
      <x:formula>2</x:formula>
    </x:cfRule>
    <x:cfRule type="cellIs" dxfId="10" priority="3" operator="equal">
      <x:formula>3</x:formula>
    </x:cfRule>
  </x:conditionalFormatting>
  <x:conditionalFormatting sqref="D65:S77">
    <x:cfRule type="cellIs" dxfId="18" priority="4" operator="equal">
      <x:formula>1</x:formula>
    </x:cfRule>
    <x:cfRule type="cellIs" dxfId="19" priority="5" operator="equal">
      <x:formula>2</x:formula>
    </x:cfRule>
    <x:cfRule type="cellIs" dxfId="20" priority="6" operator="equal">
      <x:formula>3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2D8DE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.75" hidden="0" customWidth="1"/>
    <x:col min="2" max="2" width="33.75" hidden="0" customWidth="1"/>
    <x:col min="3" max="3" width="13.130000114440918" hidden="0" customWidth="1"/>
    <x:col min="4" max="4" width="14.380000114440918" hidden="0" customWidth="1"/>
    <x:col min="5" max="5" width="23.75" hidden="0" customWidth="1"/>
    <x:col min="6" max="6" width="66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14" customHeight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LoanSight AI 완료 기준 v1.1</x:v>
      </x:c>
      <x:c r="B2" s="2"/>
      <x:c r="C2" s="2"/>
      <x:c r="D2" s="2"/>
      <x:c r="E2" s="2"/>
      <x:c r="F2" s="2"/>
      <x:c r="G2" s="2"/>
    </x:row>
    <x:row r="3" ht="8" customHeight="1">
      <x:c r="A3" s="4"/>
      <x:c r="B3" s="4"/>
      <x:c r="C3" s="4"/>
      <x:c r="D3" s="4"/>
      <x:c r="E3" s="4"/>
      <x:c r="F3" s="4"/>
      <x:c r="G3" s="4"/>
    </x:row>
    <x:row r="4" ht="15" customHeight="1">
      <x:c r="A4" s="6" t="str">
        <x:v>작업별 산출물·완료 조건·근거와 관련 요구(R)·기능(F)·미정 질문(U)을 ID로 연결합니다.</x:v>
      </x:c>
      <x:c r="B4" s="2"/>
      <x:c r="C4" s="2"/>
      <x:c r="D4" s="2"/>
      <x:c r="E4" s="2"/>
      <x:c r="F4" s="2"/>
      <x:c r="G4" s="2"/>
    </x:row>
    <x:row r="5" ht="15" customHeight="1">
      <x:c r="A5" s="6" t="str">
        <x:v>기준 문서: C:/Users/kdh80/Desktop/KB-Bridge/최종 Project/03 실적변동원인분석서비스/기획안_재무나침반_v1.0.docx</x:v>
      </x:c>
      <x:c r="B5" s="2"/>
      <x:c r="C5" s="2"/>
      <x:c r="D5" s="2"/>
      <x:c r="E5" s="2"/>
      <x:c r="F5" s="2"/>
      <x:c r="G5" s="2"/>
    </x:row>
    <x:row r="6" ht="15" customHeight="1">
      <x:c r="A6" s="6" t="str">
        <x:v>주담당은 작업 관리에서 확인합니다. 기존 노션의 팀 메모는 보존하며 Markdown 상세에도 포함합니다.</x:v>
      </x:c>
      <x:c r="B6" s="2"/>
      <x:c r="C6" s="2"/>
      <x:c r="D6" s="2"/>
      <x:c r="E6" s="2"/>
      <x:c r="F6" s="2"/>
      <x:c r="G6" s="2"/>
    </x:row>
    <x:row r="7" ht="6" customHeight="1">
      <x:c r="A7" s="2"/>
      <x:c r="B7" s="2"/>
      <x:c r="C7" s="2"/>
      <x:c r="D7" s="2"/>
      <x:c r="E7" s="2"/>
      <x:c r="F7" s="2"/>
      <x:c r="G7" s="2"/>
    </x:row>
    <x:row r="8" ht="31" customHeight="1">
      <x:c r="A8" s="11" t="str">
        <x:v>ID</x:v>
      </x:c>
      <x:c r="B8" s="12" t="str">
        <x:v>작업</x:v>
      </x:c>
      <x:c r="C8" s="12" t="str">
        <x:v>협업</x:v>
      </x:c>
      <x:c r="D8" s="12" t="str">
        <x:v>선행 ID</x:v>
      </x:c>
      <x:c r="E8" s="12" t="str">
        <x:v>산출물</x:v>
      </x:c>
      <x:c r="F8" s="12" t="str">
        <x:v>완료 기준</x:v>
      </x:c>
      <x:c r="G8" s="13" t="str">
        <x:v>완료근거</x:v>
      </x:c>
      <x:c r="H8" s="12" t="str">
        <x:v>관련 요구사항</x:v>
      </x:c>
      <x:c r="I8" s="12" t="str">
        <x:v>관련 기능</x:v>
      </x:c>
      <x:c r="J8" s="13" t="str">
        <x:v>미정 질문</x:v>
      </x:c>
    </x:row>
    <x:row r="9" ht="86" customHeight="1">
      <x:c r="A9" s="80" t="str">
        <x:v>1.1</x:v>
      </x:c>
      <x:c r="B9" s="81" t="str">
        <x:f>INDEX('작업 관리'!$C$9:$C$77,MATCH($A9,'작업 관리'!$A$9:$A$77,0))</x:f>
        <x:v>기획안 v1.0 확정본 정리</x:v>
      </x:c>
      <x:c r="C9" s="81" t="str">
        <x:v>오준탁</x:v>
      </x:c>
      <x:c r="D9" s="81" t="str">
        <x:v>없음</x:v>
      </x:c>
      <x:c r="E9" s="81" t="str">
        <x:v>LoanSight AI 기획안 v1.0</x:v>
      </x:c>
      <x:c r="F9" s="81" t="str">
        <x:v>재무·주석 결합 부도 예측, 역할·일정·검증·필수 기능을 반영한 v1.0 문서 확인。기존 v1.0 완료 기록이며 이번 v2.0 반영 완료를 뜻하지 않는다.</x:v>
      </x:c>
      <x:c r="G9" s="82" t="str">
        <x:v>기획안_LoanSight AI_v1.0.docx</x:v>
      </x:c>
      <x:c r="H9" s="81" t="str"/>
      <x:c r="I9" s="81" t="str"/>
      <x:c r="J9" s="81" t="str"/>
    </x:row>
    <x:row r="10" ht="86" customHeight="1">
      <x:c r="A10" s="89" t="str">
        <x:v>1.2</x:v>
      </x:c>
      <x:c r="B10" s="90" t="str">
        <x:f>INDEX('작업 관리'!$C$9:$C$77,MATCH($A10,'작업 관리'!$A$9:$A$77,0))</x:f>
        <x:v>기획 발표자료 v0.2 초안 보존</x:v>
      </x:c>
      <x:c r="C10" s="90" t="str">
        <x:v>최수인</x:v>
      </x:c>
      <x:c r="D10" s="90" t="str">
        <x:v>1.1</x:v>
      </x:c>
      <x:c r="E10" s="90" t="str">
        <x:v>11장 기획 발표자료</x:v>
      </x:c>
      <x:c r="F10" s="90" t="str">
        <x:v>기존 11장·발표자 노트 초안 확인. v1.0 반영은 1.8에서 별도 수행。기존 초안 보존 완료이며 최신 발표자료는 별도 검토한다.</x:v>
      </x:c>
      <x:c r="G10" s="82" t="str">
        <x:v>KB-Bridge_LoanSight AI_기획발표_v0.2.0.pptx</x:v>
      </x:c>
      <x:c r="H10" s="81" t="str"/>
      <x:c r="I10" s="81" t="str"/>
      <x:c r="J10" s="81" t="str"/>
    </x:row>
    <x:row r="11" ht="86" customHeight="1">
      <x:c r="A11" s="80" t="str">
        <x:v>1.3</x:v>
      </x:c>
      <x:c r="B11" s="81" t="str">
        <x:f>INDEX('작업 관리'!$C$9:$C$77,MATCH($A11,'작업 관리'!$A$9:$A$77,0))</x:f>
        <x:v>범위와 역할 분담 합의</x:v>
      </x:c>
      <x:c r="C11" s="81" t="str">
        <x:v>전원</x:v>
      </x:c>
      <x:c r="D11" s="81" t="str">
        <x:v>1.1</x:v>
      </x:c>
      <x:c r="E11" s="81" t="str">
        <x:v>범위·담당 확정 기록</x:v>
      </x:c>
      <x:c r="F11" s="81" t="str">
        <x:v>4개 업종·상환/연체 위험 사건 예측·주석/위험 패널 필수 범위와 5명 역할을 확인한다. 세부 배정·공수·백업·날짜의 최종 팀 합의를 기록한다.</x:v>
      </x:c>
      <x:c r="G11" s="82" t="str"/>
      <x:c r="H11" s="81" t="str">
        <x:v>N-R01
N-R16
N-R30</x:v>
      </x:c>
      <x:c r="I11" s="81" t="str"/>
      <x:c r="J11" s="81" t="str">
        <x:v>N-U08
N-U09</x:v>
      </x:c>
    </x:row>
    <x:row r="12" ht="86" customHeight="1">
      <x:c r="A12" s="89" t="str">
        <x:v>1.4</x:v>
      </x:c>
      <x:c r="B12" s="90" t="str">
        <x:f>INDEX('작업 관리'!$C$9:$C$77,MATCH($A12,'작업 관리'!$A$9:$A$77,0))</x:f>
        <x:v>확정 4개 업종과 수집 범위 점검</x:v>
      </x:c>
      <x:c r="C12" s="90" t="str">
        <x:v>김동혁</x:v>
      </x:c>
      <x:c r="D12" s="90" t="str">
        <x:v>1.1</x:v>
      </x:c>
      <x:c r="E12" s="90" t="str">
        <x:v>업종 매핑·대상 제외·수집 범위표</x:v>
      </x:c>
      <x:c r="F12" s="90" t="str">
        <x:v>제조·건설·도소매·부동산 임대 4개를 DART 코드로 매핑하고 금융/보험·지주·스팩·운수/창고·장비/물품 렌탈·부동산 관리/중개를 제외한다. 세부분류·겸업 기준과 기간은 미정으로 표시한다.</x:v>
      </x:c>
      <x:c r="G12" s="82" t="str"/>
      <x:c r="H12" s="81" t="str">
        <x:v>N-R01
N-R32</x:v>
      </x:c>
      <x:c r="I12" s="81" t="str">
        <x:v>N-F01
N-F30</x:v>
      </x:c>
      <x:c r="J12" s="81" t="str">
        <x:v>N-U02
N-U15</x:v>
      </x:c>
    </x:row>
    <x:row r="13" ht="116" customHeight="1">
      <x:c r="A13" s="80" t="str">
        <x:v>1.6</x:v>
      </x:c>
      <x:c r="B13" s="81" t="str">
        <x:f>INDEX('작업 관리'!$C$9:$C$77,MATCH($A13,'작업 관리'!$A$9:$A$77,0))</x:f>
        <x:v>재무비율·계정·업종 계산 기준 정의</x:v>
      </x:c>
      <x:c r="C13" s="81" t="str">
        <x:v>김동민</x:v>
      </x:c>
      <x:c r="D13" s="81" t="str">
        <x:v>1.1</x:v>
      </x:c>
      <x:c r="E13" s="81" t="str">
        <x:v>비율 산식·계정·예외·근거 사전</x:v>
      </x:c>
      <x:c r="F13" s="81" t="str">
        <x:v>차입금·EBITDA·이자비용·현금흐름·회전율/회전일수의 산식과 출처를 정리한다. 평균/기말 잔액·금융원가 근사·임대보증금 포함 여부는 미정으로 남기고 0/음수/결측 처리 기준을 구분한다.</x:v>
      </x:c>
      <x:c r="G13" s="82" t="str"/>
      <x:c r="H13" s="81" t="str">
        <x:v>N-R05
N-R07
N-R09
N-R33
N-R34
N-R35</x:v>
      </x:c>
      <x:c r="I13" s="81" t="str">
        <x:v>N-F31
N-F32
N-F33</x:v>
      </x:c>
      <x:c r="J13" s="81" t="str">
        <x:v>N-U11
N-U13
N-U14</x:v>
      </x:c>
    </x:row>
    <x:row r="14" ht="86" customHeight="1">
      <x:c r="A14" s="89" t="str">
        <x:v>1.7</x:v>
      </x:c>
      <x:c r="B14" s="90" t="str">
        <x:f>INDEX('작업 관리'!$C$9:$C$77,MATCH($A14,'작업 관리'!$A$9:$A$77,0))</x:f>
        <x:v>상환·연체 위험 사건과 12개월 라벨 정의</x:v>
      </x:c>
      <x:c r="C14" s="90" t="str">
        <x:v>김동민</x:v>
      </x:c>
      <x:c r="D14" s="90" t="str">
        <x:v>1.1</x:v>
      </x:c>
      <x:c r="E14" s="90" t="str">
        <x:v>복합 위험 사건·기준일·추적 기간 명세</x:v>
      </x:c>
      <x:c r="F14" s="90" t="str">
        <x:v>원리금 실제 연체/기한이익상실·지급거절·회생/채권은행 관리절차 신청·감사의견 변형/계속기업 불확실성을 유형별 기록한다. 상환과 무관한 관리종목/상장폐지는 제외한다. 유형별 심각도·사건/특징 역할·시점·비발생 판정은 원문 근거와 함께 합의한다.</x:v>
      </x:c>
      <x:c r="G14" s="82" t="str"/>
      <x:c r="H14" s="81" t="str">
        <x:v>N-R16
N-R17
N-R18
N-R20</x:v>
      </x:c>
      <x:c r="I14" s="81" t="str">
        <x:v>N-F13
N-F14
N-F16</x:v>
      </x:c>
      <x:c r="J14" s="81" t="str">
        <x:v>N-U01
N-U03</x:v>
      </x:c>
    </x:row>
    <x:row r="15" ht="150" customHeight="1">
      <x:c r="A15" s="80" t="str">
        <x:v>1.8</x:v>
      </x:c>
      <x:c r="B15" s="81" t="str">
        <x:f>INDEX('작업 관리'!$C$9:$C$77,MATCH($A15,'작업 관리'!$A$9:$A$77,0))</x:f>
        <x:v>기획 발표자료에 최신 범위 반영</x:v>
      </x:c>
      <x:c r="C15" s="81" t="str">
        <x:v>최수인</x:v>
      </x:c>
      <x:c r="D15" s="81" t="str">
        <x:v>1.1</x:v>
      </x:c>
      <x:c r="E15" s="81" t="str">
        <x:v>기획안 v2.0 기준 발표 개정 초안</x:v>
      </x:c>
      <x:c r="F15" s="81" t="str">
        <x:v>상환/연체 위험 사건 목표·4개 업종·렌탈 제외·주석 추출·위험 패널·논의 중인 15/5 표본을 반영한다. 기존 1.2 완료 기록과 구분하며 최종 발표는 6.2에서 정리한다.</x:v>
      </x:c>
      <x:c r="G15" s="82" t="str"/>
      <x:c r="H15" s="81" t="str">
        <x:v>N-R01
N-R16
N-R38
N-R39
N-R40
N-R41
N-R42
N-R43</x:v>
      </x:c>
      <x:c r="I15" s="81" t="str"/>
      <x:c r="J15" s="81" t="str">
        <x:v>N-U02
N-U09</x:v>
      </x:c>
    </x:row>
    <x:row r="16" ht="86" customHeight="1">
      <x:c r="A16" s="89" t="str">
        <x:v>1.5</x:v>
      </x:c>
      <x:c r="B16" s="90" t="str">
        <x:f>INDEX('작업 관리'!$C$9:$C$77,MATCH($A16,'작업 관리'!$A$9:$A$77,0))</x:f>
        <x:v>기능 검증·원문 정답지 표본 선정</x:v>
      </x:c>
      <x:c r="C16" s="90" t="str">
        <x:v>김동민</x:v>
      </x:c>
      <x:c r="D16" s="90" t="str">
        <x:v>1.4</x:v>
      </x:c>
      <x:c r="E16" s="90" t="str">
        <x:v>기능/정답지 표본 선정안·확정 기록</x:v>
      </x:c>
      <x:c r="F16" s="90" t="str">
        <x:v>기능 검증 15곳·정답지 5곳은 논의 필요 값으로 두고 실제 기업·기간·규모를 합의한다. 기획안 인용 추출 표본 40개사, 계정 확보 표본, 모델 학습/평가 표본과 구분한다.</x:v>
      </x:c>
      <x:c r="G16" s="82" t="str"/>
      <x:c r="H16" s="81" t="str">
        <x:v>N-R28
N-R37
N-R42</x:v>
      </x:c>
      <x:c r="I16" s="81" t="str">
        <x:v>N-F25
N-F35</x:v>
      </x:c>
      <x:c r="J16" s="81" t="str">
        <x:v>N-U02
N-U09
N-U19</x:v>
      </x:c>
    </x:row>
    <x:row r="17" ht="133" customHeight="1">
      <x:c r="A17" s="80" t="str">
        <x:v>1.M1</x:v>
      </x:c>
      <x:c r="B17" s="81" t="str">
        <x:f>INDEX('작업 관리'!$C$9:$C$77,MATCH($A17,'작업 관리'!$A$9:$A$77,0))</x:f>
        <x:v>업종·데이터·모델 설계 기준 확정</x:v>
      </x:c>
      <x:c r="C17" s="81" t="str">
        <x:v>전원</x:v>
      </x:c>
      <x:c r="D17" s="81" t="str">
        <x:v>1.3, 1.5, 1.6, 1.7</x:v>
      </x:c>
      <x:c r="E17" s="81" t="str">
        <x:v>1차 범위 결정 기록</x:v>
      </x:c>
      <x:c r="F17" s="81" t="str">
        <x:v>4개 업종 매핑·기간·검증/학습 표본·산식·위험 사건/관측 창의 결정 여부를 기록한다. 미정 질문의 미해결은 완료 처리하지 않으며, 최신 v2.0/v0.0.4 변경은 1.9에서 재확인한다.</x:v>
      </x:c>
      <x:c r="G17" s="82" t="str"/>
      <x:c r="H17" s="81" t="str">
        <x:v>N-R01
N-R16
N-R17
N-R18
N-R28
N-R32
N-R33</x:v>
      </x:c>
      <x:c r="I17" s="81" t="str"/>
      <x:c r="J17" s="81" t="str">
        <x:v>N-U01
N-U02
N-U03
N-U09</x:v>
      </x:c>
    </x:row>
    <x:row r="18" ht="354" customHeight="1">
      <x:c r="A18" s="89" t="str">
        <x:v>1.9</x:v>
      </x:c>
      <x:c r="B18" s="90" t="str">
        <x:f>INDEX('작업 관리'!$C$9:$C$77,MATCH($A18,'작업 관리'!$A$9:$A$77,0))</x:f>
        <x:v>v2.0·v0.0.4 변경 및 미정 의사결정 정리</x:v>
      </x:c>
      <x:c r="C18" s="90" t="str">
        <x:v>전원</x:v>
      </x:c>
      <x:c r="D18" s="90" t="str">
        <x:v>1.1</x:v>
      </x:c>
      <x:c r="E18" s="90" t="str">
        <x:v>변경/충돌·미정 질문 20개·범위 기록</x:v>
      </x:c>
      <x:c r="F18" s="90" t="str">
        <x:v>요구사항의 10/23 팀 결정(4개 업종·렌탈 제외·15/5 논의 필요)을 충돌 부분에 우선한다. R01~43/F01~41 연결과 20개 질문의 담당·결정 필요 시점을 기록한다. R31/F28~29는 확장 검토 기록만 남기며 초기 개발 완료로 세지 않는다.</x:v>
      </x:c>
      <x:c r="G18" s="82" t="str"/>
      <x:c r="H18" s="81" t="str">
        <x:v>N-R01
N-R16
N-R28
N-R30
N-R31</x:v>
      </x:c>
      <x:c r="I18" s="81" t="str">
        <x:v>N-F27
N-F28
N-F29</x:v>
      </x:c>
      <x:c r="J18" s="81" t="str">
        <x:v>N-U01
N-U02
N-U03
N-U04
N-U05
N-U06
N-U07
N-U08
N-U09
N-U10
N-U11
N-U12
N-U13
N-U14
N-U15
N-U16
N-U17
N-U18
N-U19
N-U20</x:v>
      </x:c>
    </x:row>
    <x:row r="19" ht="99" customHeight="1">
      <x:c r="A19" s="80" t="str">
        <x:v>1.10</x:v>
      </x:c>
      <x:c r="B19" s="81" t="str">
        <x:f>INDEX('작업 관리'!$C$9:$C$77,MATCH($A19,'작업 관리'!$A$9:$A$77,0))</x:f>
        <x:v>기획안 v1.0 확정본 정리</x:v>
      </x:c>
      <x:c r="C19" s="81" t="str">
        <x:v>김동민·최수인</x:v>
      </x:c>
      <x:c r="D19" s="81" t="str">
        <x:v>1.9</x:v>
      </x:c>
      <x:c r="E19" s="81" t="str">
        <x:v>6축 지표·경고/주의/관찰 초안·근거/미정표</x:v>
      </x:c>
      <x:c r="F19" s="81" t="str">
        <x:v>상환재원·유동성/만기·구조·우발/부외·외부평가·담보/회수 6축과 업종 우선 지표를 연결한다. 1배/3년/2년 등의 수치는 팀 가설로 표시하고 현직자 검토와 기준 버전·누락 처리·종합 우선순위는 미정 상태를 구분한다.</x:v>
      </x:c>
      <x:c r="G19" s="82" t="str"/>
      <x:c r="H19" s="81" t="str">
        <x:v>N-R14
N-R24
N-R36
N-R38
N-R39</x:v>
      </x:c>
      <x:c r="I19" s="81" t="str">
        <x:v>N-F21
N-F34
N-F36
N-F37</x:v>
      </x:c>
      <x:c r="J19" s="81" t="str">
        <x:v>N-U06
N-U12
N-U17</x:v>
      </x:c>
    </x:row>
    <x:row r="20" ht="86" customHeight="1">
      <x:c r="A20" s="89" t="str">
        <x:v>2.7</x:v>
      </x:c>
      <x:c r="B20" s="90" t="str">
        <x:f>INDEX('작업 관리'!$C$9:$C$77,MATCH($A20,'작업 관리'!$A$9:$A$77,0))</x:f>
        <x:v>위험 사건 이력 수집과 원문 대조</x:v>
      </x:c>
      <x:c r="C20" s="90" t="str">
        <x:v>최수인</x:v>
      </x:c>
      <x:c r="D20" s="90" t="str">
        <x:v>1.7</x:v>
      </x:c>
      <x:c r="E20" s="90" t="str">
        <x:v>위험 사건별 이력·사건일·공시 원문</x:v>
      </x:c>
      <x:c r="F20" s="90" t="str">
        <x:v>주요사항보고서·감사보고서·기한이익상실 공시를 대조하고 유형·사건일·최초 공개일·접수번호를 보존한다. API 미조회만으로 비발생을 단정하지 않고 제공 기간·기업 범위·누락/실패를 기록한다.</x:v>
      </x:c>
      <x:c r="G20" s="82" t="str"/>
      <x:c r="H20" s="81" t="str">
        <x:v>N-R17
N-R18
N-R20</x:v>
      </x:c>
      <x:c r="I20" s="81" t="str">
        <x:v>N-F13
N-F14
N-F16</x:v>
      </x:c>
      <x:c r="J20" s="81" t="str">
        <x:v>N-U01
N-U03</x:v>
      </x:c>
    </x:row>
    <x:row r="21" ht="86" customHeight="1">
      <x:c r="A21" s="80" t="str">
        <x:v>2.1</x:v>
      </x:c>
      <x:c r="B21" s="81" t="str">
        <x:f>INDEX('작업 관리'!$C$9:$C$77,MATCH($A21,'작업 관리'!$A$9:$A$77,0))</x:f>
        <x:v>재무·공시 수집과 출처 저장</x:v>
      </x:c>
      <x:c r="C21" s="81" t="str">
        <x:v>서종원</x:v>
      </x:c>
      <x:c r="D21" s="81" t="str">
        <x:v>1.M1</x:v>
      </x:c>
      <x:c r="E21" s="81" t="str">
        <x:v>수집 응답·공시 목록·캐시</x:v>
      </x:c>
      <x:c r="F21" s="81" t="str">
        <x:v>기업·업종·보고서·접수번호·공시일·수집일·원본·버전·정정 관계를 보존한다. 공개 당시 알 수 있는 데이터만 모델 시점에 연결하고 실패/캐시 정책은 별도 기록한다.</x:v>
      </x:c>
      <x:c r="G21" s="82" t="str"/>
      <x:c r="H21" s="81" t="str">
        <x:v>N-R03
N-R27
N-R30</x:v>
      </x:c>
      <x:c r="I21" s="81" t="str">
        <x:v>N-F02
N-F24
N-F27</x:v>
      </x:c>
      <x:c r="J21" s="81" t="str">
        <x:v>N-U08</x:v>
      </x:c>
    </x:row>
    <x:row r="22" ht="86" customHeight="1">
      <x:c r="A22" s="89" t="str">
        <x:v>2.2</x:v>
      </x:c>
      <x:c r="B22" s="90" t="str">
        <x:f>INDEX('작업 관리'!$C$9:$C$77,MATCH($A22,'작업 관리'!$A$9:$A$77,0))</x:f>
        <x:v>계정 매핑과 비교 기준 정렬</x:v>
      </x:c>
      <x:c r="C22" s="90" t="str">
        <x:v>오준탁</x:v>
      </x:c>
      <x:c r="D22" s="90" t="str">
        <x:v>1.M1</x:v>
      </x:c>
      <x:c r="E22" s="90" t="str">
        <x:v>계정 매핑·표준 데이터</x:v>
      </x:c>
      <x:c r="F22" s="90" t="str">
        <x:v>연결/별도·통화·단위·기간·정정 기준과 표준 계정 매핑을 구분한다. 미확보/공시 없음/계산 불가/0을 합치지 않고 결측 원인을 보존한다.</x:v>
      </x:c>
      <x:c r="G22" s="82" t="str"/>
      <x:c r="H22" s="81" t="str">
        <x:v>N-R04
N-R05
N-R33
N-R37</x:v>
      </x:c>
      <x:c r="I22" s="81" t="str">
        <x:v>N-F03
N-F31
N-F35</x:v>
      </x:c>
      <x:c r="J22" s="81" t="str">
        <x:v>N-U11
N-U13
N-U14</x:v>
      </x:c>
    </x:row>
    <x:row r="23" ht="86" customHeight="1">
      <x:c r="A23" s="80" t="str">
        <x:v>2.8</x:v>
      </x:c>
      <x:c r="B23" s="81" t="str">
        <x:f>INDEX('작업 관리'!$C$9:$C$77,MATCH($A23,'작업 관리'!$A$9:$A$77,0))</x:f>
        <x:v>과거 재무·주석 학습자료 수집</x:v>
      </x:c>
      <x:c r="C23" s="81" t="str">
        <x:v>김동민</x:v>
      </x:c>
      <x:c r="D23" s="81" t="str">
        <x:v>1.M1</x:v>
      </x:c>
      <x:c r="E23" s="81" t="str">
        <x:v>기업·공시시점별 학습 원자료</x:v>
      </x:c>
      <x:c r="F23" s="81" t="str">
        <x:v>기업·공시시점별 재무와 원문 주석을 수집하고 원본 버전·회계 범위·공개일을 저장한다. 기능 검증 수와 모델 학습/평가 기업·관측치·위험 사건 수를 구분한다.</x:v>
      </x:c>
      <x:c r="G23" s="82" t="str"/>
      <x:c r="H23" s="81" t="str">
        <x:v>N-R03
N-R18
N-R19
N-R20</x:v>
      </x:c>
      <x:c r="I23" s="81" t="str">
        <x:v>N-F02
N-F14
N-F15
N-F16</x:v>
      </x:c>
      <x:c r="J23" s="81" t="str">
        <x:v>N-U01
N-U03
N-U04</x:v>
      </x:c>
    </x:row>
    <x:row r="24" ht="150" customHeight="1">
      <x:c r="A24" s="89" t="str">
        <x:v>2.5</x:v>
      </x:c>
      <x:c r="B24" s="90" t="str">
        <x:f>INDEX('작업 관리'!$C$9:$C$77,MATCH($A24,'작업 관리'!$A$9:$A$77,0))</x:f>
        <x:v>원문 대조 정답지 작성</x:v>
      </x:c>
      <x:c r="C24" s="90" t="str">
        <x:v>오준탁·김동민</x:v>
      </x:c>
      <x:c r="D24" s="90" t="str">
        <x:v>1.5, 1.6</x:v>
      </x:c>
      <x:c r="E24" s="90" t="str">
        <x:v>수치·주석·출처 정답지</x:v>
      </x:c>
      <x:c r="F24" s="90" t="str">
        <x:v>선정 표본 수는 N-U02 합의 후 적용한다(5곳 논의 필요). 수치·산식·주석·검출 상태·원문·확인 항목을 대조하고 정답지 판정자·예외·미검출 원인을 기록한다.</x:v>
      </x:c>
      <x:c r="G24" s="82" t="str"/>
      <x:c r="H24" s="81" t="str">
        <x:v>N-R28
N-R33
N-R34
N-R35
N-R37
N-R41
N-R42
N-R43</x:v>
      </x:c>
      <x:c r="I24" s="81" t="str">
        <x:v>N-F25
N-F35
N-F39
N-F40
N-F41</x:v>
      </x:c>
      <x:c r="J24" s="81" t="str">
        <x:v>N-U02
N-U09
N-U19</x:v>
      </x:c>
    </x:row>
    <x:row r="25" ht="86" customHeight="1">
      <x:c r="A25" s="80" t="str">
        <x:v>2.3</x:v>
      </x:c>
      <x:c r="B25" s="81" t="str">
        <x:f>INDEX('작업 관리'!$C$9:$C$77,MATCH($A25,'작업 관리'!$A$9:$A$77,0))</x:f>
        <x:v>주석 구간·교차참조·추출 표본 확보</x:v>
      </x:c>
      <x:c r="C25" s="81" t="str">
        <x:v>최수인</x:v>
      </x:c>
      <x:c r="D25" s="81" t="str">
        <x:v>2.1</x:v>
      </x:c>
      <x:c r="E25" s="81" t="str">
        <x:v>관련 주석 원문 표본</x:v>
      </x:c>
      <x:c r="F25" s="81" t="str">
        <x:v>소송·보증·담보/약정·차입 만기·PF·리스 등 공통/업종별 구간을 확보하고 표/본문·교차참조·중복과 출처 위치를 기록한다. 장비/물품 렌탈 추가 수집은 제외한다.</x:v>
      </x:c>
      <x:c r="G25" s="82" t="str"/>
      <x:c r="H25" s="81" t="str">
        <x:v>N-R11
N-R41
N-R42
N-R43</x:v>
      </x:c>
      <x:c r="I25" s="81" t="str">
        <x:v>N-F09
N-F39
N-F40
N-F41</x:v>
      </x:c>
      <x:c r="J25" s="81" t="str">
        <x:v>N-U04
N-U18
N-U19</x:v>
      </x:c>
    </x:row>
    <x:row r="26" ht="86" customHeight="1">
      <x:c r="A26" s="89" t="str">
        <x:v>2.9</x:v>
      </x:c>
      <x:c r="B26" s="90" t="str">
        <x:f>INDEX('작업 관리'!$C$9:$C$77,MATCH($A26,'작업 관리'!$A$9:$A$77,0))</x:f>
        <x:v>12개월 라벨과 관측기간 구성</x:v>
      </x:c>
      <x:c r="C26" s="90" t="str">
        <x:v>최수인</x:v>
      </x:c>
      <x:c r="D26" s="90" t="str">
        <x:v>2.7, 2.8</x:v>
      </x:c>
      <x:c r="E26" s="90" t="str">
        <x:v>모델 학습·평가 표본 명세</x:v>
      </x:c>
      <x:c r="F26" s="90" t="str">
        <x:v>공개 기준일 다음 12개월 위험 사건과 비발생/추적 미완료를 구분한다. 충분한 추적 종료 전에 정상 라벨을 부여하지 않고 이미 사건 발생한 관측은 분리한다. 학습 결과가 다음 검증 시작 전에 확정되도록 설계한다.</x:v>
      </x:c>
      <x:c r="G26" s="82" t="str"/>
      <x:c r="H26" s="81" t="str">
        <x:v>N-R16
N-R18
N-R20</x:v>
      </x:c>
      <x:c r="I26" s="81" t="str">
        <x:v>N-F14
N-F16</x:v>
      </x:c>
      <x:c r="J26" s="81" t="str">
        <x:v>N-U01
N-U03</x:v>
      </x:c>
    </x:row>
    <x:row r="27" ht="99" customHeight="1">
      <x:c r="A27" s="80" t="str">
        <x:v>2.10</x:v>
      </x:c>
      <x:c r="B27" s="81" t="str">
        <x:f>INDEX('작업 관리'!$C$9:$C$77,MATCH($A27,'작업 관리'!$A$9:$A$77,0))</x:f>
        <x:v>재무·공시 수집과 출처 저장</x:v>
      </x:c>
      <x:c r="C27" s="81" t="str">
        <x:v>김동혁·최수인</x:v>
      </x:c>
      <x:c r="D27" s="81" t="str">
        <x:v>1.9, 2.2</x:v>
      </x:c>
      <x:c r="E27" s="81" t="str">
        <x:v>업종/항목 확보율·결측 사유표</x:v>
      </x:c>
      <x:c r="F27" s="81" t="str">
        <x:v>4개 업종의 필수 계정·이자비용·차입/만기·EBITDA·운전자본을 점검한다. 업종별 5개 이상은 계정 점검 계획이며 70%는 예시일 뿐 합격 확정값이 아니다. 확보 결과와 대안/추가 수집을 기록한다.</x:v>
      </x:c>
      <x:c r="G27" s="82" t="str"/>
      <x:c r="H27" s="81" t="str">
        <x:v>N-R05
N-R33
N-R34
N-R35
N-R37</x:v>
      </x:c>
      <x:c r="I27" s="81" t="str">
        <x:v>N-F03
N-F31
N-F32
N-F33
N-F35</x:v>
      </x:c>
      <x:c r="J27" s="81" t="str">
        <x:v>N-U02
N-U11
N-U13
N-U14</x:v>
      </x:c>
    </x:row>
    <x:row r="28" ht="116" customHeight="1">
      <x:c r="A28" s="89" t="str">
        <x:v>2.11</x:v>
      </x:c>
      <x:c r="B28" s="90" t="str">
        <x:f>INDEX('작업 관리'!$C$9:$C$77,MATCH($A28,'작업 관리'!$A$9:$A$77,0))</x:f>
        <x:v>주석 원문 구간·추출 검출 상태 저장</x:v>
      </x:c>
      <x:c r="C28" s="90" t="str">
        <x:v>김동민·최수인</x:v>
      </x:c>
      <x:c r="D28" s="90" t="str">
        <x:v>1.9, 2.1</x:v>
      </x:c>
      <x:c r="E28" s="90" t="str">
        <x:v>원문 구간·교차참조·구조화/검출 상태 저장 구조</x:v>
      </x:c>
      <x:c r="F28" s="90" t="str">
        <x:v>보고서/구간·접수번호·공개일·버전·현재/전기·방향·한도/잔액·검수·검출/공시상 없음/미검출/추출 실패를 분리한다. 공시상 없음은 명시 원문이 있어야 하며 금액 미기재/실패를 0으로 바꾸지 않는다.</x:v>
      </x:c>
      <x:c r="G28" s="82" t="str"/>
      <x:c r="H28" s="81" t="str">
        <x:v>N-R03
N-R12
N-R27
N-R41
N-R42
N-R43</x:v>
      </x:c>
      <x:c r="I28" s="81" t="str">
        <x:v>N-F02
N-F10
N-F24
N-F39
N-F40
N-F41</x:v>
      </x:c>
      <x:c r="J28" s="81" t="str">
        <x:v>N-U04
N-U08
N-U18</x:v>
      </x:c>
    </x:row>
    <x:row r="29" ht="86" customHeight="1">
      <x:c r="A29" s="80" t="str">
        <x:v>2.4</x:v>
      </x:c>
      <x:c r="B29" s="81" t="str">
        <x:f>INDEX('작업 관리'!$C$9:$C$77,MATCH($A29,'작업 관리'!$A$9:$A$77,0))</x:f>
        <x:v>데이터 정합성과 결측 점검</x:v>
      </x:c>
      <x:c r="C29" s="81" t="str">
        <x:v>김동혁</x:v>
      </x:c>
      <x:c r="D29" s="81" t="str">
        <x:v>2.1, 2.2</x:v>
      </x:c>
      <x:c r="E29" s="81" t="str">
        <x:v>품질 점검 결과</x:v>
      </x:c>
      <x:c r="F29" s="81" t="str">
        <x:v>합계·부호·단위·계정 매핑·결측/0·원문 일치를 검산한다. 계정 확보율을 업종별로 기록하고 예시 합격률을 확정 기준으로 쓰지 않는다.</x:v>
      </x:c>
      <x:c r="G29" s="82" t="str"/>
      <x:c r="H29" s="81" t="str">
        <x:v>N-R05
N-R28
N-R37</x:v>
      </x:c>
      <x:c r="I29" s="81" t="str">
        <x:v>N-F03
N-F25
N-F35</x:v>
      </x:c>
      <x:c r="J29" s="81" t="str">
        <x:v>N-U09</x:v>
      </x:c>
    </x:row>
    <x:row r="30" ht="86" customHeight="1">
      <x:c r="A30" s="89" t="str">
        <x:v>2.6</x:v>
      </x:c>
      <x:c r="B30" s="90" t="str">
        <x:f>INDEX('작업 관리'!$C$9:$C$77,MATCH($A30,'작업 관리'!$A$9:$A$77,0))</x:f>
        <x:v>업종 비교 표본 확보와 정리</x:v>
      </x:c>
      <x:c r="C30" s="90" t="str">
        <x:v>김동혁</x:v>
      </x:c>
      <x:c r="D30" s="90" t="str">
        <x:v>2.4</x:v>
      </x:c>
      <x:c r="E30" s="90" t="str">
        <x:v>비교 기업·기간·표본 수</x:v>
      </x:c>
      <x:c r="F30" s="90" t="str">
        <x:v>동일 업종·기간·회계 기준의 비교 기업·분포·표본 수를 표시한다. 표본 부족은 비교 불가로 표시하며 한국은행 평균의 업종 수준·연도·모집단 차이는 N-U16 결정 후 적용한다.</x:v>
      </x:c>
      <x:c r="G30" s="82" t="str"/>
      <x:c r="H30" s="81" t="str">
        <x:v>N-R10
N-R40</x:v>
      </x:c>
      <x:c r="I30" s="81" t="str">
        <x:v>N-F08
N-F38</x:v>
      </x:c>
      <x:c r="J30" s="81" t="str">
        <x:v>N-U06
N-U16
N-U20</x:v>
      </x:c>
    </x:row>
    <x:row r="31" ht="86" customHeight="1">
      <x:c r="A31" s="80" t="str">
        <x:v>3.2</x:v>
      </x:c>
      <x:c r="B31" s="81" t="str">
        <x:f>INDEX('작업 관리'!$C$9:$C$77,MATCH($A31,'작업 관리'!$A$9:$A$77,0))</x:f>
        <x:v>기업 검색과 업종 표시·필터</x:v>
      </x:c>
      <x:c r="C31" s="81" t="str">
        <x:v>김동혁</x:v>
      </x:c>
      <x:c r="D31" s="81" t="str">
        <x:v>1.M1</x:v>
      </x:c>
      <x:c r="E31" s="81" t="str">
        <x:v>검색·업종 선택 화면</x:v>
      </x:c>
      <x:c r="F31" s="81" t="str">
        <x:v>기업 식별·DART 업종코드·서비스 업종·세부분류·적용 기준·보고 기간·연결/별도·결산월을 표시한다. 수동 업종 변경과 근거는 3.12에 연결한다.</x:v>
      </x:c>
      <x:c r="G31" s="82" t="str"/>
      <x:c r="H31" s="81" t="str">
        <x:v>N-R01
N-R02
N-R32</x:v>
      </x:c>
      <x:c r="I31" s="81" t="str">
        <x:v>N-F01
N-F30</x:v>
      </x:c>
      <x:c r="J31" s="81" t="str">
        <x:v>N-U02
N-U15</x:v>
      </x:c>
    </x:row>
    <x:row r="32" ht="86" customHeight="1">
      <x:c r="A32" s="89" t="str">
        <x:v>3.1</x:v>
      </x:c>
      <x:c r="B32" s="90" t="str">
        <x:f>INDEX('작업 관리'!$C$9:$C$77,MATCH($A32,'작업 관리'!$A$9:$A$77,0))</x:f>
        <x:v>변동 기여도와 재무비율 계산</x:v>
      </x:c>
      <x:c r="C32" s="90" t="str">
        <x:v>서종원</x:v>
      </x:c>
      <x:c r="D32" s="90" t="str">
        <x:v>1.M1</x:v>
      </x:c>
      <x:c r="E32" s="90" t="str">
        <x:v>계산 로직·검산 결과</x:v>
      </x:c>
      <x:c r="F32" s="90" t="str">
        <x:v>영업이익 변동 금액·기여도·잔차와 0/음수 분모·적자 전환·결측을 검산한다. 숫자 분해를 인과관계로 단정하지 않는다.</x:v>
      </x:c>
      <x:c r="G32" s="82" t="str"/>
      <x:c r="H32" s="81" t="str">
        <x:v>N-R08
N-R09</x:v>
      </x:c>
      <x:c r="I32" s="81" t="str">
        <x:v>N-F06
N-F07</x:v>
      </x:c>
      <x:c r="J32" s="81" t="str"/>
    </x:row>
    <x:row r="33" ht="86" customHeight="1">
      <x:c r="A33" s="80" t="str">
        <x:v>3.12</x:v>
      </x:c>
      <x:c r="B33" s="81" t="str">
        <x:f>INDEX('작업 관리'!$C$9:$C$77,MATCH($A33,'작업 관리'!$A$9:$A$77,0))</x:f>
        <x:v>겸업 판정·업종 변경 근거 기록</x:v>
      </x:c>
      <x:c r="C33" s="81" t="str">
        <x:v>오준탁·김동민</x:v>
      </x:c>
      <x:c r="D33" s="81" t="str">
        <x:v>1.9, 3.2</x:v>
      </x:c>
      <x:c r="E33" s="81" t="str">
        <x:v>DART 매핑·복합 판정·수동 변경 기록</x:v>
      </x:c>
      <x:c r="F33" s="81" t="str">
        <x:v>기업/업종/세부분류와 건설/부동산 임대 적용 기준을 표시한다. 복합 판정 매출 비중·권한/저장은 N-U15 합의 후 적용하고 담당자 변경 사유·근거를 보존해 변경 업종 기준으로 다시 분석한다.</x:v>
      </x:c>
      <x:c r="G33" s="82" t="str"/>
      <x:c r="H33" s="81" t="str">
        <x:v>N-R01
N-R02
N-R32</x:v>
      </x:c>
      <x:c r="I33" s="81" t="str">
        <x:v>N-F01
N-F30</x:v>
      </x:c>
      <x:c r="J33" s="81" t="str">
        <x:v>N-U02
N-U15</x:v>
      </x:c>
    </x:row>
    <x:row r="34" ht="150" customHeight="1">
      <x:c r="A34" s="89" t="str">
        <x:v>3.3</x:v>
      </x:c>
      <x:c r="B34" s="90" t="str">
        <x:f>INDEX('작업 관리'!$C$9:$C$77,MATCH($A34,'작업 관리'!$A$9:$A$77,0))</x:f>
        <x:v>핵심 재무 대시보드와 차트</x:v>
      </x:c>
      <x:c r="C34" s="90" t="str">
        <x:v>김동민</x:v>
      </x:c>
      <x:c r="D34" s="90" t="str">
        <x:v>3.2, 1.6</x:v>
      </x:c>
      <x:c r="E34" s="90" t="str">
        <x:v>영업이익·변동·현금흐름 화면</x:v>
      </x:c>
      <x:c r="F34" s="90" t="str">
        <x:v>영업이익 우선 배치·업종별 감가상각 강조·차입/상환능력·운전자본·기간/회계 범위/원문을 표시한다. 신규 업종 패널은 기존 N-S04에 붙이고 화면을 별도 신설하지 않는다.</x:v>
      </x:c>
      <x:c r="G34" s="82" t="str"/>
      <x:c r="H34" s="81" t="str">
        <x:v>N-R07
N-R09
N-R27
N-R33
N-R34
N-R35
N-R38
N-R40</x:v>
      </x:c>
      <x:c r="I34" s="81" t="str">
        <x:v>N-F05
N-F07
N-F24
N-F32
N-F33
N-F36
N-F38</x:v>
      </x:c>
      <x:c r="J34" s="81" t="str">
        <x:v>N-U20</x:v>
      </x:c>
    </x:row>
    <x:row r="35" ht="116" customHeight="1">
      <x:c r="A35" s="80" t="str">
        <x:v>3.8</x:v>
      </x:c>
      <x:c r="B35" s="81" t="str">
        <x:f>INDEX('작업 관리'!$C$9:$C$77,MATCH($A35,'작업 관리'!$A$9:$A$77,0))</x:f>
        <x:v>차입 상환능력·영업순환 지표 계산</x:v>
      </x:c>
      <x:c r="C35" s="81" t="str">
        <x:v>서종원·오준탁</x:v>
      </x:c>
      <x:c r="D35" s="81" t="str">
        <x:v>1.6, 2.4, 2.10</x:v>
      </x:c>
      <x:c r="E35" s="81" t="str">
        <x:v>차입/상환·CCC·운전자본 계산·검산 기록</x:v>
      </x:c>
      <x:c r="F35" s="81" t="str">
        <x:v>차입금/EBITDA/이자보상과 업종별 회전율·일수·현금전환주기를 산출한다. 금융원가 근사·임대보증금·평균 잔액·분모 예외는 결정 기준/미정에 맞춰 표시하며 정답지로 검산한다.</x:v>
      </x:c>
      <x:c r="G35" s="82" t="str"/>
      <x:c r="H35" s="81" t="str">
        <x:v>N-R07
N-R09
N-R33
N-R34
N-R35
N-R37</x:v>
      </x:c>
      <x:c r="I35" s="81" t="str">
        <x:v>N-F05
N-F07
N-F31
N-F32
N-F33
N-F35</x:v>
      </x:c>
      <x:c r="J35" s="81" t="str">
        <x:v>N-U11
N-U13
N-U14</x:v>
      </x:c>
    </x:row>
    <x:row r="36" ht="133" customHeight="1">
      <x:c r="A36" s="89" t="str">
        <x:v>3.4</x:v>
      </x:c>
      <x:c r="B36" s="90" t="str">
        <x:f>INDEX('작업 관리'!$C$9:$C$77,MATCH($A36,'작업 관리'!$A$9:$A$77,0))</x:f>
        <x:v>확인 체크와 재무 검토 기록 초안</x:v>
      </x:c>
      <x:c r="C36" s="90" t="str">
        <x:v>오준탁</x:v>
      </x:c>
      <x:c r="D36" s="90" t="str">
        <x:v>3.3</x:v>
      </x:c>
      <x:c r="E36" s="90" t="str">
        <x:v>확인 기록·메모 초안</x:v>
      </x:c>
      <x:c r="F36" s="90" t="str">
        <x:v>규칙 징후 단계·모델 확률·담당자 확인 상태를 별도로 저장/표시한다. 미확인 모음과 근거/수치 복사·수정 및 내부 추가 확인 안내를 제공한다.</x:v>
      </x:c>
      <x:c r="G36" s="82" t="str"/>
      <x:c r="H36" s="81" t="str">
        <x:v>N-R14
N-R24
N-R25
N-R26
N-R27
N-R39
N-R43</x:v>
      </x:c>
      <x:c r="I36" s="81" t="str">
        <x:v>N-F21
N-F22
N-F23
N-F24
N-F37
N-F41</x:v>
      </x:c>
      <x:c r="J36" s="81" t="str">
        <x:v>N-U08
N-U17</x:v>
      </x:c>
    </x:row>
    <x:row r="37" ht="99" customHeight="1">
      <x:c r="A37" s="80" t="str">
        <x:v>3.6</x:v>
      </x:c>
      <x:c r="B37" s="81" t="str">
        <x:f>INDEX('작업 관리'!$C$9:$C$77,MATCH($A37,'작업 관리'!$A$9:$A$77,0))</x:f>
        <x:v>업종별 확인 기준 검토</x:v>
      </x:c>
      <x:c r="C37" s="81" t="str">
        <x:v>최수인</x:v>
      </x:c>
      <x:c r="D37" s="81" t="str">
        <x:v>2.4, 2.5</x:v>
      </x:c>
      <x:c r="E37" s="81" t="str">
        <x:v>업종별 점검 기준</x:v>
      </x:c>
      <x:c r="F37" s="81" t="str">
        <x:v>업종별 점검표·6개 판단 축과 근거를 연결하고 팀 가설 수치와 검증 기준을 구분한다. 규칙 단계가 은행 건전성 분류/내부 등급/승인 결정을 대신하지 않도록 안내한다.</x:v>
      </x:c>
      <x:c r="G37" s="82" t="str"/>
      <x:c r="H37" s="81" t="str">
        <x:v>N-R14
N-R24
N-R36
N-R38
N-R39</x:v>
      </x:c>
      <x:c r="I37" s="81" t="str">
        <x:v>N-F21
N-F34
N-F36
N-F37</x:v>
      </x:c>
      <x:c r="J37" s="81" t="str">
        <x:v>N-U06
N-U12
N-U17</x:v>
      </x:c>
    </x:row>
    <x:row r="38" ht="99" customHeight="1">
      <x:c r="A38" s="89" t="str">
        <x:v>3.9</x:v>
      </x:c>
      <x:c r="B38" s="90" t="str">
        <x:f>INDEX('작업 관리'!$C$9:$C$77,MATCH($A38,'작업 관리'!$A$9:$A$77,0))</x:f>
        <x:v>업종 위험 지표·징후 단계 판정 연결</x:v>
      </x:c>
      <x:c r="C38" s="90" t="str">
        <x:v>오준탁·서종원</x:v>
      </x:c>
      <x:c r="D38" s="90" t="str">
        <x:v>1.10, 3.8</x:v>
      </x:c>
      <x:c r="E38" s="90" t="str">
        <x:v>업종별 지표·규칙 버전·단계/판정 근거</x:v>
      </x:c>
      <x:c r="F38" s="90" t="str">
        <x:v>6축·우선 지표와 경고/주의/관찰 조건을 연결한다. 가설 수치·기준 버전·근거·계산 불가를 표시하고 미확보를 관찰/정상으로 치환하지 않는다. 경고는 상단 고정/원문 확인 필수, 주의는 확인 항목에 추가한다. 규칙 단계·미래 모델 확률·담당자 체크는 독립 상태로 유지한다.</x:v>
      </x:c>
      <x:c r="G38" s="82" t="str"/>
      <x:c r="H38" s="81" t="str">
        <x:v>N-R14
N-R24
N-R36
N-R38
N-R39</x:v>
      </x:c>
      <x:c r="I38" s="81" t="str">
        <x:v>N-F21
N-F34
N-F36
N-F37</x:v>
      </x:c>
      <x:c r="J38" s="81" t="str">
        <x:v>N-U06
N-U12
N-U17</x:v>
      </x:c>
    </x:row>
    <x:row r="39" ht="86" customHeight="1">
      <x:c r="A39" s="80" t="str">
        <x:v>3.11</x:v>
      </x:c>
      <x:c r="B39" s="81" t="str">
        <x:f>INDEX('작업 관리'!$C$9:$C$77,MATCH($A39,'작업 관리'!$A$9:$A$77,0))</x:f>
        <x:v>직접 입력·출처·재계산 경로 검증</x:v>
      </x:c>
      <x:c r="C39" s="81" t="str">
        <x:v>김동민·최수인</x:v>
      </x:c>
      <x:c r="D39" s="81" t="str">
        <x:v>2.4, 3.3</x:v>
      </x:c>
      <x:c r="E39" s="81" t="str">
        <x:v>수기 입력·출처/시점 표시·검증 결과</x:v>
      </x:c>
      <x:c r="F39" s="81" t="str">
        <x:v>직접 입력의 원문/입력자/시점과 공시 수집 값을 구분하고 필수 입력·단위·누락/0·재계산을 검증한다. 내부 은행 자료를 수집하거나 임의 입력을 공식 원문으로 표시하지 않는다.</x:v>
      </x:c>
      <x:c r="G39" s="82" t="str"/>
      <x:c r="H39" s="81" t="str">
        <x:v>N-R06
N-R27</x:v>
      </x:c>
      <x:c r="I39" s="81" t="str">
        <x:v>N-F04
N-F24</x:v>
      </x:c>
      <x:c r="J39" s="81" t="str">
        <x:v>N-U08</x:v>
      </x:c>
    </x:row>
    <x:row r="40" ht="133" customHeight="1">
      <x:c r="A40" s="89" t="str">
        <x:v>3.10</x:v>
      </x:c>
      <x:c r="B40" s="90" t="str">
        <x:f>INDEX('작업 관리'!$C$9:$C$77,MATCH($A40,'작업 관리'!$A$9:$A$77,0))</x:f>
        <x:v>변동 기여도와 재무비율 계산</x:v>
      </x:c>
      <x:c r="C40" s="90" t="str">
        <x:v>김동민·오준탁</x:v>
      </x:c>
      <x:c r="D40" s="90" t="str">
        <x:v>3.9, 2.11</x:v>
      </x:c>
      <x:c r="E40" s="90" t="str">
        <x:v>N-S04 위험 패널·업종 차트·원문 연결</x:v>
      </x:c>
      <x:c r="F40" s="90" t="str">
        <x:v>기존 N-S04에 단계/5개년 추세/업종 내 위치/주석 근거를 배치한다. 제조 CCC·도소매 마진/매입채무/리스·건설 PF 만기·임대 차입만기/금리/EBITDA 커버/LTV 성격 비율을 업종 기준에 맞게 표시한다. 3개년 비교와 구분하고 표본 부족은 비교 보류, 결측은 자료 없음으로 표시한다. 색과 텍스트를 병기하고 게이지/레이더는 사용하지 않는다. 최소 표본과 차트 우선순위는 N-U20을 따른다.</x:v>
      </x:c>
      <x:c r="G40" s="82" t="str"/>
      <x:c r="H40" s="81" t="str">
        <x:v>N-R11
N-R27
N-R38
N-R39
N-R40
N-R43</x:v>
      </x:c>
      <x:c r="I40" s="81" t="str">
        <x:v>N-F24
N-F36
N-F37
N-F38
N-F41</x:v>
      </x:c>
      <x:c r="J40" s="81" t="str">
        <x:v>N-U17
N-U20</x:v>
      </x:c>
    </x:row>
    <x:row r="41" ht="99" customHeight="1">
      <x:c r="A41" s="80" t="str">
        <x:v>3.5</x:v>
      </x:c>
      <x:c r="B41" s="81" t="str">
        <x:f>INDEX('작업 관리'!$C$9:$C$77,MATCH($A41,'작업 관리'!$A$9:$A$77,0))</x:f>
        <x:v>현금흐름 괴리와 업종 비교 분석</x:v>
      </x:c>
      <x:c r="C41" s="81" t="str">
        <x:v>오준탁</x:v>
      </x:c>
      <x:c r="D41" s="81" t="str">
        <x:v>2.6, 3.1</x:v>
      </x:c>
      <x:c r="E41" s="81" t="str">
        <x:v>분석 결과와 적용 범위</x:v>
      </x:c>
      <x:c r="F41" s="81" t="str">
        <x:v>현금흐름과 이익 차이·차입/운전자본·기존 3개년 추세와 비교 분포·표본 한계를 설명한다. 패널 5개년 추세는 별도 시각화 기준으로 구분한다.</x:v>
      </x:c>
      <x:c r="G41" s="82" t="str"/>
      <x:c r="H41" s="81" t="str">
        <x:v>N-R09
N-R10
N-R34
N-R35
N-R40</x:v>
      </x:c>
      <x:c r="I41" s="81" t="str">
        <x:v>N-F07
N-F08
N-F32
N-F33
N-F38</x:v>
      </x:c>
      <x:c r="J41" s="81" t="str">
        <x:v>N-U06
N-U16
N-U20</x:v>
      </x:c>
    </x:row>
    <x:row r="42" ht="133" customHeight="1">
      <x:c r="A42" s="89" t="str">
        <x:v>3.7</x:v>
      </x:c>
      <x:c r="B42" s="90" t="str">
        <x:f>INDEX('작업 관리'!$C$9:$C$77,MATCH($A42,'작업 관리'!$A$9:$A$77,0))</x:f>
        <x:v>핵심 분석과 확인 항목 통합</x:v>
      </x:c>
      <x:c r="C42" s="90" t="str">
        <x:v>김동민</x:v>
      </x:c>
      <x:c r="D42" s="90" t="str">
        <x:v>3.4, 3.6</x:v>
      </x:c>
      <x:c r="E42" s="90" t="str">
        <x:v>통합 대시보드</x:v>
      </x:c>
      <x:c r="F42" s="90" t="str">
        <x:v>계산·확인 항목·원문·메모 연결을 검증한다. 규칙 단계/미래 확률/담당자 체크를 혼동하지 않고 패널 통합 검수는 3.M2와 5.7에 연결한다.</x:v>
      </x:c>
      <x:c r="G42" s="82" t="str"/>
      <x:c r="H42" s="81" t="str">
        <x:v>N-R07
N-R14
N-R24
N-R25
N-R26
N-R27
N-R40</x:v>
      </x:c>
      <x:c r="I42" s="81" t="str">
        <x:v>N-F05
N-F21
N-F22
N-F23
N-F24
N-F38</x:v>
      </x:c>
      <x:c r="J42" s="81" t="str"/>
    </x:row>
    <x:row r="43" ht="133" customHeight="1">
      <x:c r="A43" s="80" t="str">
        <x:v>3.M2</x:v>
      </x:c>
      <x:c r="B43" s="81" t="str">
        <x:f>INDEX('작업 관리'!$C$9:$C$77,MATCH($A43,'작업 관리'!$A$9:$A$77,0))</x:f>
        <x:v>핵심 재무 기능 통합 완료 판단</x:v>
      </x:c>
      <x:c r="C43" s="81" t="str">
        <x:v>서종원·김동민</x:v>
      </x:c>
      <x:c r="D43" s="81" t="str">
        <x:v>3.5, 3.7, 2.4, 3.10, 3.11, 3.12</x:v>
      </x:c>
      <x:c r="E43" s="81" t="str">
        <x:v>핵심 기능 확인 기록</x:v>
      </x:c>
      <x:c r="F43" s="81" t="str">
        <x:v>정량 분석·직접 입력·업종 변경 기록·업종별 패널과 차트의 검수 대상 버전을 고정한다. 수치 가설·미정 표본·검증 전 결과를 실제 성과로 표시하지 않는다.</x:v>
      </x:c>
      <x:c r="G43" s="82" t="str"/>
      <x:c r="H43" s="81" t="str">
        <x:v>N-R06
N-R07
N-R28
N-R32
N-R38
N-R39
N-R40</x:v>
      </x:c>
      <x:c r="I43" s="81" t="str">
        <x:v>N-F04
N-F05
N-F25
N-F30
N-F36
N-F37
N-F38</x:v>
      </x:c>
      <x:c r="J43" s="81" t="str"/>
    </x:row>
    <x:row r="44" ht="133" customHeight="1">
      <x:c r="A44" s="89" t="str">
        <x:v>4.1</x:v>
      </x:c>
      <x:c r="B44" s="90" t="str">
        <x:f>INDEX('작업 관리'!$C$9:$C$77,MATCH($A44,'작업 관리'!$A$9:$A$77,0))</x:f>
        <x:v>주석 요약 형식과 확인 안내 정의</x:v>
      </x:c>
      <x:c r="C44" s="90" t="str">
        <x:v>김동혁</x:v>
      </x:c>
      <x:c r="D44" s="90" t="str">
        <x:v>2.3, 2.5</x:v>
      </x:c>
      <x:c r="E44" s="90" t="str">
        <x:v>추출 필드·요약 형식</x:v>
      </x:c>
      <x:c r="F44" s="90" t="str">
        <x:v>공통 6범주/업종 추가 사전과 유형·방향·금액·통화·상태·기준일·원문 위치·검출 상태·검수 기록을 정의한다. 표/본문 중복·현재/전기·한도/잔액을 구분하고 코드는 N-U04/N-U18 합의 후 고정한다.</x:v>
      </x:c>
      <x:c r="G44" s="82" t="str"/>
      <x:c r="H44" s="81" t="str">
        <x:v>N-R11
N-R12
N-R13
N-R14
N-R41
N-R42
N-R43</x:v>
      </x:c>
      <x:c r="I44" s="81" t="str">
        <x:v>N-F09
N-F10
N-F11
N-F39
N-F40
N-F41</x:v>
      </x:c>
      <x:c r="J44" s="81" t="str">
        <x:v>N-U04
N-U07
N-U18</x:v>
      </x:c>
    </x:row>
    <x:row r="45" ht="133" customHeight="1">
      <x:c r="A45" s="80" t="str">
        <x:v>4.2</x:v>
      </x:c>
      <x:c r="B45" s="81" t="str">
        <x:f>INDEX('작업 관리'!$C$9:$C$77,MATCH($A45,'작업 관리'!$A$9:$A$77,0))</x:f>
        <x:v>주석 위험 항목 추출과 AI 요약</x:v>
      </x:c>
      <x:c r="C45" s="81" t="str">
        <x:v>서종원</x:v>
      </x:c>
      <x:c r="D45" s="81" t="str">
        <x:v>4.1</x:v>
      </x:c>
      <x:c r="E45" s="81" t="str">
        <x:v>주석 추출·요약 결과</x:v>
      </x:c>
      <x:c r="F45" s="81" t="str">
        <x:v>공통/업종 규칙으로 얻은 구조화 주석을 근거 요약과 모델 입력에 공통 재사용한다. 일반 담보·대출약정을 자동으로 우발부채로 판정하지 않고, 검출 상태·금액 미기재를 0/정상으로 바꾸지 않는다.</x:v>
      </x:c>
      <x:c r="G45" s="82" t="str"/>
      <x:c r="H45" s="81" t="str">
        <x:v>N-R11
N-R12
N-R13
N-R19
N-R41
N-R42
N-R43</x:v>
      </x:c>
      <x:c r="I45" s="81" t="str">
        <x:v>N-F09
N-F10
N-F11
N-F15
N-F39
N-F40
N-F41</x:v>
      </x:c>
      <x:c r="J45" s="81" t="str">
        <x:v>N-U04
N-U07
N-U18</x:v>
      </x:c>
    </x:row>
    <x:row r="46" ht="116" customHeight="1">
      <x:c r="A46" s="89" t="str">
        <x:v>4.8</x:v>
      </x:c>
      <x:c r="B46" s="90" t="str">
        <x:f>INDEX('작업 관리'!$C$9:$C$77,MATCH($A46,'작업 관리'!$A$9:$A$77,0))</x:f>
        <x:v>공통 주석 6범주 추출 규칙 구현</x:v>
      </x:c>
      <x:c r="C46" s="90" t="str">
        <x:v>김동민·최수인</x:v>
      </x:c>
      <x:c r="D46" s="90" t="str">
        <x:v>4.1, 2.11</x:v>
      </x:c>
      <x:c r="E46" s="90" t="str">
        <x:v>공통 검색어·추출 범위·저장 필드/버전</x:v>
      </x:c>
      <x:c r="F46" s="90" t="str">
        <x:v>감사의견/계속기업·차입 만기/재무약정·신용등급·담보 제공·소송/제재·부외거래/후속사건 6항목을 추출한다. 제목부터 다음 주석 번호/소제목 전까지 저장하고 다른 장 참조는 해당 위치를 다시 추출한다. 보증 제공/수취·원고/피고·현재/전기·한도/잔액·표/본문 중복과 교차참조를 구분한다. 일반 담보/대출을 자동 우발부채로 단정하지 않는다.</x:v>
      </x:c>
      <x:c r="G46" s="82" t="str"/>
      <x:c r="H46" s="81" t="str">
        <x:v>N-R03
N-R11
N-R41
N-R43</x:v>
      </x:c>
      <x:c r="I46" s="81" t="str">
        <x:v>N-F02
N-F09
N-F39
N-F41</x:v>
      </x:c>
      <x:c r="J46" s="81" t="str">
        <x:v>N-U04
N-U18</x:v>
      </x:c>
    </x:row>
    <x:row r="47" ht="86" customHeight="1">
      <x:c r="A47" s="80" t="str">
        <x:v>4.3</x:v>
      </x:c>
      <x:c r="B47" s="81" t="str">
        <x:f>INDEX('작업 관리'!$C$9:$C$77,MATCH($A47,'작업 관리'!$A$9:$A$77,0))</x:f>
        <x:v>뉴스 수집 방식과 후보 기사 확보</x:v>
      </x:c>
      <x:c r="C47" s="81" t="str">
        <x:v>최수인</x:v>
      </x:c>
      <x:c r="D47" s="81" t="str">
        <x:v>1.5</x:v>
      </x:c>
      <x:c r="E47" s="81" t="str">
        <x:v>뉴스 후보와 수집 조건</x:v>
      </x:c>
      <x:c r="F47" s="81" t="str">
        <x:v>기업·기간 식별과 매체 활용 조건 확인</x:v>
      </x:c>
      <x:c r="G47" s="82" t="str"/>
      <x:c r="H47" s="81" t="str">
        <x:v>N-R15</x:v>
      </x:c>
      <x:c r="I47" s="81" t="str">
        <x:v>N-F12</x:v>
      </x:c>
      <x:c r="J47" s="81" t="str">
        <x:v>N-U07</x:v>
      </x:c>
    </x:row>
    <x:row r="48" ht="133" customHeight="1">
      <x:c r="A48" s="89" t="str">
        <x:v>4.5</x:v>
      </x:c>
      <x:c r="B48" s="90" t="str">
        <x:f>INDEX('작업 관리'!$C$9:$C$77,MATCH($A48,'작업 관리'!$A$9:$A$77,0))</x:f>
        <x:v>AI 요약 원문 대조 검증</x:v>
      </x:c>
      <x:c r="C48" s="90" t="str">
        <x:v>김동민</x:v>
      </x:c>
      <x:c r="D48" s="90" t="str">
        <x:v>4.2</x:v>
      </x:c>
      <x:c r="E48" s="90" t="str">
        <x:v>주석 요약 검증 결과</x:v>
      </x:c>
      <x:c r="F48" s="90" t="str">
        <x:v>정답지 대비 추출 정밀도/재현율·단위·부정 표현·방향·중복·원문 일치를 확인한다. 근거 없는 요약·미검출/추출 실패를 구분하고 검증된 필드만 모델 입력 후보로 넘긴다.</x:v>
      </x:c>
      <x:c r="G48" s="82" t="str"/>
      <x:c r="H48" s="81" t="str">
        <x:v>N-R11
N-R12
N-R13
N-R28
N-R41
N-R42
N-R43</x:v>
      </x:c>
      <x:c r="I48" s="81" t="str">
        <x:v>N-F10
N-F11
N-F25
N-F39
N-F40
N-F41</x:v>
      </x:c>
      <x:c r="J48" s="81" t="str">
        <x:v>N-U04
N-U09
N-U18
N-U19</x:v>
      </x:c>
    </x:row>
    <x:row r="49" ht="99" customHeight="1">
      <x:c r="A49" s="80" t="str">
        <x:v>4.9</x:v>
      </x:c>
      <x:c r="B49" s="81" t="str">
        <x:f>INDEX('작업 관리'!$C$9:$C$77,MATCH($A49,'작업 관리'!$A$9:$A$77,0))</x:f>
        <x:v>4개 업종별 주석 추가 추출 규칙 구현</x:v>
      </x:c>
      <x:c r="C49" s="81" t="str">
        <x:v>김동민·오준탁·최수인</x:v>
      </x:c>
      <x:c r="D49" s="81" t="str">
        <x:v>4.8</x:v>
      </x:c>
      <x:c r="E49" s="81" t="str">
        <x:v>업종별 사전·추출 필드·원문 근거</x:v>
      </x:c>
      <x:c r="F49" s="81" t="str">
        <x:v>제조 재고평가/손상/개발비/공급자금융/가동률·도소매 리스/매입처/점포·건설 PF/계약자산/공사원가/분양·임대 차입/투자부동산/임대율/보증금 추가 규칙을 반영한다. PF 보증한도/금액/잔액/만기와 총괄·하위 표 중복을 구분한다. 장비/물품 렌탈은 제외하고 인용 추출 표본의 미검출 항목은 검수 대상으로 남긴다.</x:v>
      </x:c>
      <x:c r="G49" s="82" t="str"/>
      <x:c r="H49" s="81" t="str">
        <x:v>N-R11
N-R28
N-R42
N-R43</x:v>
      </x:c>
      <x:c r="I49" s="81" t="str">
        <x:v>N-F09
N-F25
N-F40
N-F41</x:v>
      </x:c>
      <x:c r="J49" s="81" t="str">
        <x:v>N-U18
N-U19</x:v>
      </x:c>
    </x:row>
    <x:row r="50" ht="86" customHeight="1">
      <x:c r="A50" s="89" t="str">
        <x:v>4.4</x:v>
      </x:c>
      <x:c r="B50" s="90" t="str">
        <x:f>INDEX('작업 관리'!$C$9:$C$77,MATCH($A50,'작업 관리'!$A$9:$A$77,0))</x:f>
        <x:v>뉴스 관련성과 누락 정답지</x:v>
      </x:c>
      <x:c r="C50" s="90" t="str">
        <x:v>오준탁</x:v>
      </x:c>
      <x:c r="D50" s="90" t="str">
        <x:v>4.3</x:v>
      </x:c>
      <x:c r="E50" s="90" t="str">
        <x:v>관련·비관련·누락 기사 목록</x:v>
      </x:c>
      <x:c r="F50" s="90" t="str">
        <x:v>동명·단순 언급·중복 제거와 중요 기사 누락 점검</x:v>
      </x:c>
      <x:c r="G50" s="82" t="str"/>
      <x:c r="H50" s="81" t="str">
        <x:v>N-R15</x:v>
      </x:c>
      <x:c r="I50" s="81" t="str">
        <x:v>N-F12</x:v>
      </x:c>
      <x:c r="J50" s="81" t="str">
        <x:v>N-U07
N-U09</x:v>
      </x:c>
    </x:row>
    <x:row r="51" ht="86" customHeight="1">
      <x:c r="A51" s="80" t="str">
        <x:v>4.6</x:v>
      </x:c>
      <x:c r="B51" s="81" t="str">
        <x:f>INDEX('작업 관리'!$C$9:$C$77,MATCH($A51,'작업 관리'!$A$9:$A$77,0))</x:f>
        <x:v>주석 요약과 원문 근거 화면 연결</x:v>
      </x:c>
      <x:c r="C51" s="81" t="str">
        <x:v>김동혁</x:v>
      </x:c>
      <x:c r="D51" s="81" t="str">
        <x:v>4.2, 4.5</x:v>
      </x:c>
      <x:c r="E51" s="81" t="str">
        <x:v>근거 연결과 대안 화면</x:v>
      </x:c>
      <x:c r="F51" s="81" t="str">
        <x:v>주석 요약·원문·기준일·검출 상태와 추가 확인 안내를 연결한다. 미검출은 부재로 표시하지 않으며 추출 실패와 공시상 명시적 없음을 구분한다.</x:v>
      </x:c>
      <x:c r="G51" s="82" t="str"/>
      <x:c r="H51" s="81" t="str">
        <x:v>N-R13
N-R14
N-R27
N-R43</x:v>
      </x:c>
      <x:c r="I51" s="81" t="str">
        <x:v>N-F11
N-F24
N-F41</x:v>
      </x:c>
      <x:c r="J51" s="81" t="str">
        <x:v>N-U04
N-U08</x:v>
      </x:c>
    </x:row>
    <x:row r="52" ht="99" customHeight="1">
      <x:c r="A52" s="89" t="str">
        <x:v>4.10</x:v>
      </x:c>
      <x:c r="B52" s="90" t="str">
        <x:f>INDEX('작업 관리'!$C$9:$C$77,MATCH($A52,'작업 관리'!$A$9:$A$77,0))</x:f>
        <x:v>주석 요약 형식과 확인 안내 정의</x:v>
      </x:c>
      <x:c r="C52" s="90" t="str">
        <x:v>김동혁·김동민</x:v>
      </x:c>
      <x:c r="D52" s="90" t="str">
        <x:v>4.9, 4.5</x:v>
      </x:c>
      <x:c r="E52" s="90" t="str">
        <x:v>항목/업종별 추출 평가·원인별 보완 기록</x:v>
      </x:c>
      <x:c r="F52" s="90" t="str">
        <x:v>원문 정답지와 대조하여 정밀도/재현율·규칙 누락/공시 없음/형식 차이·오탐/중복/방향/단위 오류를 기록한다. 제조 담보·도소매 점포·건설 분양/미분양·임대 후속사건 등 미검출을 재점검하고 합격 목표/수용은 N-U09/N-U19 합의 전 확정하지 않는다.</x:v>
      </x:c>
      <x:c r="G52" s="82" t="str"/>
      <x:c r="H52" s="81" t="str">
        <x:v>N-R12
N-R28
N-R41
N-R42
N-R43</x:v>
      </x:c>
      <x:c r="I52" s="81" t="str">
        <x:v>N-F10
N-F25
N-F39
N-F40
N-F41</x:v>
      </x:c>
      <x:c r="J52" s="81" t="str">
        <x:v>N-U09
N-U18
N-U19</x:v>
      </x:c>
    </x:row>
    <x:row r="53" ht="86" customHeight="1">
      <x:c r="A53" s="80" t="str">
        <x:v>4.7</x:v>
      </x:c>
      <x:c r="B53" s="81" t="str">
        <x:f>INDEX('작업 관리'!$C$9:$C$77,MATCH($A53,'작업 관리'!$A$9:$A$77,0))</x:f>
        <x:v>관련 뉴스 요약과 원문 링크 보완</x:v>
      </x:c>
      <x:c r="C53" s="81" t="str">
        <x:v>김동혁·최수인</x:v>
      </x:c>
      <x:c r="D53" s="81" t="str">
        <x:v>4.4</x:v>
      </x:c>
      <x:c r="E53" s="81" t="str">
        <x:v>뉴스 요약·출처·링크 화면</x:v>
      </x:c>
      <x:c r="F53" s="81" t="str">
        <x:v>관련성·시점·중복·중요 기사 누락 점검 결과 반영. 품질 부족 시 원문 링크로 제공</x:v>
      </x:c>
      <x:c r="G53" s="82" t="str"/>
      <x:c r="H53" s="81" t="str">
        <x:v>N-R15
N-R27</x:v>
      </x:c>
      <x:c r="I53" s="81" t="str">
        <x:v>N-F12
N-F24</x:v>
      </x:c>
      <x:c r="J53" s="81" t="str">
        <x:v>N-U07
N-U09</x:v>
      </x:c>
    </x:row>
    <x:row r="54" ht="133" customHeight="1">
      <x:c r="A54" s="89" t="str">
        <x:v>4.M3</x:v>
      </x:c>
      <x:c r="B54" s="90" t="str">
        <x:f>INDEX('작업 관리'!$C$9:$C$77,MATCH($A54,'작업 관리'!$A$9:$A$77,0))</x:f>
        <x:v>주석 요약 검증과 제공 형식 확정</x:v>
      </x:c>
      <x:c r="C54" s="90" t="str">
        <x:v>오준탁·최수인</x:v>
      </x:c>
      <x:c r="D54" s="90" t="str">
        <x:v>4.5, 4.6, 4.10</x:v>
      </x:c>
      <x:c r="E54" s="90" t="str">
        <x:v>주석 검증·제공 형식 기록</x:v>
      </x:c>
      <x:c r="F54" s="90" t="str">
        <x:v>공통/업종 추출·원문/상태 저장·미검출 원인 검수와 추가 확인 안내 제공 형식을 고정한다. 뉴스는 보완으로 분리하고 추출 품질 미달을 완료로 표시하지 않는다.</x:v>
      </x:c>
      <x:c r="G54" s="82" t="str"/>
      <x:c r="H54" s="81" t="str">
        <x:v>N-R11
N-R12
N-R13
N-R28
N-R41
N-R42
N-R43</x:v>
      </x:c>
      <x:c r="I54" s="81" t="str">
        <x:v>N-F09
N-F10
N-F11
N-F25
N-F39
N-F40
N-F41</x:v>
      </x:c>
      <x:c r="J54" s="81" t="str">
        <x:v>N-U04
N-U09
N-U18
N-U19</x:v>
      </x:c>
    </x:row>
    <x:row r="55" ht="86" customHeight="1">
      <x:c r="A55" s="80" t="str">
        <x:v>7.1</x:v>
      </x:c>
      <x:c r="B55" s="81" t="str">
        <x:f>INDEX('작업 관리'!$C$9:$C$77,MATCH($A55,'작업 관리'!$A$9:$A$77,0))</x:f>
        <x:v>재무지표 기준 모델 학습</x:v>
      </x:c>
      <x:c r="C55" s="81" t="str">
        <x:v>김동혁</x:v>
      </x:c>
      <x:c r="D55" s="81" t="str">
        <x:v>2.4, 2.9</x:v>
      </x:c>
      <x:c r="E55" s="81" t="str">
        <x:v>재무 기준 모델·학습 기록</x:v>
      </x:c>
      <x:c r="F55" s="81" t="str">
        <x:v>수익성·유동성·부채·현금흐름·변동 지표로 재무 기준 로지스틱 회귀 모델을 학습한다. 전처리는 학습 구간에서만 수행하고 위험 사건/비발생/추적 미완료를 구분한다.</x:v>
      </x:c>
      <x:c r="G55" s="82" t="str"/>
      <x:c r="H55" s="81" t="str">
        <x:v>N-R16
N-R18
N-R20
N-R21</x:v>
      </x:c>
      <x:c r="I55" s="81" t="str">
        <x:v>N-F14
N-F16
N-F17</x:v>
      </x:c>
      <x:c r="J55" s="81" t="str">
        <x:v>N-U01
N-U03
N-U05</x:v>
      </x:c>
    </x:row>
    <x:row r="56" ht="150" customHeight="1">
      <x:c r="A56" s="89" t="str">
        <x:v>7.3</x:v>
      </x:c>
      <x:c r="B56" s="90" t="str">
        <x:f>INDEX('작업 관리'!$C$9:$C$77,MATCH($A56,'작업 관리'!$A$9:$A$77,0))</x:f>
        <x:v>주석 위험 항목의 수치 변수화</x:v>
      </x:c>
      <x:c r="C56" s="90" t="str">
        <x:v>김동혁·최수인</x:v>
      </x:c>
      <x:c r="D56" s="90" t="str">
        <x:v>4.2, 2.9, 4.9</x:v>
      </x:c>
      <x:c r="E56" s="90" t="str">
        <x:v>주석 변수 사전·특징 데이터</x:v>
      </x:c>
      <x:c r="F56" s="90" t="str">
        <x:v>금액/총자산·유형·소송/보증 방향·담보·한도/잔액·변화·결측/검출 상태를 특징 후보로 구성한다. 원문·검수·공개시점·낮은 확보율 변수 제외 근거를 기록하고 뉴스/LLM 임의 확률은 초기 입력에서 제외한다.</x:v>
      </x:c>
      <x:c r="G56" s="82" t="str"/>
      <x:c r="H56" s="81" t="str">
        <x:v>N-R19
N-R33
N-R34
N-R35
N-R37
N-R41
N-R42
N-R43</x:v>
      </x:c>
      <x:c r="I56" s="81" t="str">
        <x:v>N-F15
N-F31
N-F32
N-F33
N-F35
N-F39
N-F40
N-F41</x:v>
      </x:c>
      <x:c r="J56" s="81" t="str">
        <x:v>N-U04
N-U05
N-U18</x:v>
      </x:c>
    </x:row>
    <x:row r="57" ht="86" customHeight="1">
      <x:c r="A57" s="80" t="str">
        <x:v>7.4</x:v>
      </x:c>
      <x:c r="B57" s="81" t="str">
        <x:f>INDEX('작업 관리'!$C$9:$C$77,MATCH($A57,'작업 관리'!$A$9:$A$77,0))</x:f>
        <x:v>재무·주석 결합 위험 사건 모델 학습</x:v>
      </x:c>
      <x:c r="C57" s="81" t="str">
        <x:v>김동혁</x:v>
      </x:c>
      <x:c r="D57" s="81" t="str">
        <x:v>7.1, 7.3, 4.5</x:v>
      </x:c>
      <x:c r="E57" s="81" t="str">
        <x:v>결합 모델·재현 가능한 학습 코드</x:v>
      </x:c>
      <x:c r="F57" s="81" t="str">
        <x:v>향후 12개월 복합 위험 사건 발생을 목표로 기준 모델과 동일 기업·기간·학습/평가 표본을 사용한다. 검증 주석만 추가하고 모델 종류·결측/불균형 처리는 N-U05 합의 후 기록한다.</x:v>
      </x:c>
      <x:c r="G57" s="82" t="str"/>
      <x:c r="H57" s="81" t="str">
        <x:v>N-R16
N-R19
N-R20
N-R21</x:v>
      </x:c>
      <x:c r="I57" s="81" t="str">
        <x:v>N-F16
N-F18</x:v>
      </x:c>
      <x:c r="J57" s="81" t="str">
        <x:v>N-U01
N-U03
N-U04
N-U05</x:v>
      </x:c>
    </x:row>
    <x:row r="58" ht="99" customHeight="1">
      <x:c r="A58" s="89" t="str">
        <x:v>7.5</x:v>
      </x:c>
      <x:c r="B58" s="90" t="str">
        <x:f>INDEX('작업 관리'!$C$9:$C$77,MATCH($A58,'작업 관리'!$A$9:$A$77,0))</x:f>
        <x:v>모델 비교와 예측 확률 보정</x:v>
      </x:c>
      <x:c r="C58" s="90" t="str">
        <x:v>최수인</x:v>
      </x:c>
      <x:c r="D58" s="90" t="str">
        <x:v>7.4</x:v>
      </x:c>
      <x:c r="E58" s="90" t="str">
        <x:v>모델 비교표·확률 보정 결과</x:v>
      </x:c>
      <x:c r="F58" s="90" t="str">
        <x:v>동일 평가 표본의 기준/결합 모델을 PR-AUC·정밀도·재현율·Brier·확률 보정으로 비교한다. 자연 위험 사건 비율을 유지하고 결과 확정 시점·기업 분리·업종별 표본 한계를 공개한다.</x:v>
      </x:c>
      <x:c r="G58" s="82" t="str"/>
      <x:c r="H58" s="81" t="str">
        <x:v>N-R20
N-R21
N-R22
N-R28</x:v>
      </x:c>
      <x:c r="I58" s="81" t="str">
        <x:v>N-F16
N-F17
N-F18
N-F19
N-F25</x:v>
      </x:c>
      <x:c r="J58" s="81" t="str">
        <x:v>N-U03
N-U05
N-U09</x:v>
      </x:c>
    </x:row>
    <x:row r="59" ht="86" customHeight="1">
      <x:c r="A59" s="80" t="str">
        <x:v>7.6</x:v>
      </x:c>
      <x:c r="B59" s="81" t="str">
        <x:f>INDEX('작업 관리'!$C$9:$C$77,MATCH($A59,'작업 관리'!$A$9:$A$77,0))</x:f>
        <x:v>위험 사건 예측 확률·근거·보류 화면</x:v>
      </x:c>
      <x:c r="C59" s="81" t="str">
        <x:v>김동민·오준탁</x:v>
      </x:c>
      <x:c r="D59" s="81" t="str">
        <x:v>7.4</x:v>
      </x:c>
      <x:c r="E59" s="81" t="str">
        <x:v>예측 API·확률·근거 화면</x:v>
      </x:c>
      <x:c r="F59" s="81" t="str">
        <x:v>12개월 위험 사건 확률·기준일·모델 버전·입력 지표·주석 원문·검증/보류 상태를 표시한다. 규칙 단계와 다른 결과로 표시하고 학습/검증 전 임의 확률을 실제 결과로 제시하지 않는다.</x:v>
      </x:c>
      <x:c r="G59" s="82" t="str"/>
      <x:c r="H59" s="81" t="str">
        <x:v>N-R16
N-R23
N-R27
N-R39</x:v>
      </x:c>
      <x:c r="I59" s="81" t="str">
        <x:v>N-F20
N-F24
N-F37</x:v>
      </x:c>
      <x:c r="J59" s="81" t="str">
        <x:v>N-U05
N-U08
N-U17</x:v>
      </x:c>
    </x:row>
    <x:row r="60" ht="133" customHeight="1">
      <x:c r="A60" s="89" t="str">
        <x:v>7.7</x:v>
      </x:c>
      <x:c r="B60" s="90" t="str">
        <x:f>INDEX('작업 관리'!$C$9:$C$77,MATCH($A60,'작업 관리'!$A$9:$A$77,0))</x:f>
        <x:v>예측 결과를 검토 기록에 연결</x:v>
      </x:c>
      <x:c r="C60" s="90" t="str">
        <x:v>오준탁</x:v>
      </x:c>
      <x:c r="D60" s="90" t="str">
        <x:v>7.6, 3.4, 4.6</x:v>
      </x:c>
      <x:c r="E60" s="90" t="str">
        <x:v>예측 근거 포함 기록 초안</x:v>
      </x:c>
      <x:c r="F60" s="90" t="str">
        <x:v>수치·주석·규칙 단계·예측 확률·원문·추가 내부 확인을 구분하여 복사/수정한다. 예측 설명을 인과관계나 자동 승인/거절/내부 등급 결정으로 표현하지 않는다.</x:v>
      </x:c>
      <x:c r="G60" s="82" t="str"/>
      <x:c r="H60" s="81" t="str">
        <x:v>N-R14
N-R23
N-R24
N-R26
N-R27
N-R39
N-R43</x:v>
      </x:c>
      <x:c r="I60" s="81" t="str">
        <x:v>N-F20
N-F21
N-F23
N-F24
N-F37
N-F41</x:v>
      </x:c>
      <x:c r="J60" s="81" t="str">
        <x:v>N-U05
N-U08
N-U17</x:v>
      </x:c>
    </x:row>
    <x:row r="61" ht="116" customHeight="1">
      <x:c r="A61" s="80" t="str">
        <x:v>7.2</x:v>
      </x:c>
      <x:c r="B61" s="81" t="str">
        <x:f>INDEX('작업 관리'!$C$9:$C$77,MATCH($A61,'작업 관리'!$A$9:$A$77,0))</x:f>
        <x:v>모델 성능·정보 누출·해석 검증</x:v>
      </x:c>
      <x:c r="C61" s="81" t="str">
        <x:v>최수인</x:v>
      </x:c>
      <x:c r="D61" s="81" t="str">
        <x:v>7.5</x:v>
      </x:c>
      <x:c r="E61" s="81" t="str">
        <x:v>모델 검증 보고서</x:v>
      </x:c>
      <x:c r="F61" s="81" t="str">
        <x:v>미래 공시/정정/사건·기업 반복 관측의 누출과 12개월 추적 창을 점검한다. 감사의견을 특징과 사건에 쓰는 시점을 명시하고 성능·보정·업종별 한계 및 표시/보류 관문을 보고한다.</x:v>
      </x:c>
      <x:c r="G61" s="82" t="str"/>
      <x:c r="H61" s="81" t="str">
        <x:v>N-R17
N-R18
N-R20
N-R22
N-R23
N-R28</x:v>
      </x:c>
      <x:c r="I61" s="81" t="str">
        <x:v>N-F13
N-F14
N-F16
N-F19
N-F20
N-F25</x:v>
      </x:c>
      <x:c r="J61" s="81" t="str">
        <x:v>N-U01
N-U03
N-U05
N-U09</x:v>
      </x:c>
    </x:row>
    <x:row r="62" ht="116" customHeight="1">
      <x:c r="A62" s="89" t="str">
        <x:v>7.M7</x:v>
      </x:c>
      <x:c r="B62" s="90" t="str">
        <x:f>INDEX('작업 관리'!$C$9:$C$77,MATCH($A62,'작업 관리'!$A$9:$A$77,0))</x:f>
        <x:v>위험 사건 모델·연동 검증 기준 고정</x:v>
      </x:c>
      <x:c r="C62" s="90" t="str">
        <x:v>김동민·서종원·최수인</x:v>
      </x:c>
      <x:c r="D62" s="90" t="str">
        <x:v>7.2, 7.7</x:v>
      </x:c>
      <x:c r="E62" s="90" t="str">
        <x:v>검증 모델·연동 기준 버전</x:v>
      </x:c>
      <x:c r="F62" s="90" t="str">
        <x:v>라벨·학습/평가·기준/결합 모델 비교·보정과 버전을 고정한다. 예측/원문/기록 연동과 표시/보류 조건을 통합 검증에 인계하며 미정 수용 기준은 미정으로 남긴다.</x:v>
      </x:c>
      <x:c r="G62" s="82" t="str"/>
      <x:c r="H62" s="81" t="str">
        <x:v>N-R16
N-R20
N-R21
N-R22
N-R23
N-R28</x:v>
      </x:c>
      <x:c r="I62" s="81" t="str">
        <x:v>N-F16
N-F17
N-F18
N-F19
N-F20
N-F25</x:v>
      </x:c>
      <x:c r="J62" s="81" t="str">
        <x:v>N-U05
N-U09</x:v>
      </x:c>
    </x:row>
    <x:row r="63" ht="86" customHeight="1">
      <x:c r="A63" s="80" t="str">
        <x:v>5.1</x:v>
      </x:c>
      <x:c r="B63" s="81" t="str">
        <x:f>INDEX('작업 관리'!$C$9:$C$77,MATCH($A63,'작업 관리'!$A$9:$A$77,0))</x:f>
        <x:v>접근 제어·인증키·배포 점검</x:v>
      </x:c>
      <x:c r="C63" s="81" t="str">
        <x:v>김동혁</x:v>
      </x:c>
      <x:c r="D63" s="81" t="str">
        <x:v>3.M2, 4.M3, 7.6</x:v>
      </x:c>
      <x:c r="E63" s="81" t="str">
        <x:v>시연 주소와 운영 점검</x:v>
      </x:c>
      <x:c r="F63" s="81" t="str">
        <x:v>API 키 비노출·접근 제어·요청 제한·캐시·재시도·오류/검증 전 상태를 확인한다. 은행 내부자료를 수집하지 않으며 실제 배포/접속 확인과 배포 계획을 구분한다.</x:v>
      </x:c>
      <x:c r="G63" s="82" t="str"/>
      <x:c r="H63" s="81" t="str">
        <x:v>N-R14
N-R27
N-R30</x:v>
      </x:c>
      <x:c r="I63" s="81" t="str">
        <x:v>N-F24
N-F27</x:v>
      </x:c>
      <x:c r="J63" s="81" t="str">
        <x:v>N-U07
N-U08</x:v>
      </x:c>
    </x:row>
    <x:row r="64" ht="201" customHeight="1">
      <x:c r="A64" s="89" t="str">
        <x:v>5.2</x:v>
      </x:c>
      <x:c r="B64" s="90" t="str">
        <x:f>INDEX('작업 관리'!$C$9:$C$77,MATCH($A64,'작업 관리'!$A$9:$A$77,0))</x:f>
        <x:v>선정 기업별 기능·모델 통합 검증</x:v>
      </x:c>
      <x:c r="C64" s="90" t="str">
        <x:v>김동혁</x:v>
      </x:c>
      <x:c r="D64" s="90" t="str">
        <x:v>3.M2, 4.M3, 7.M7</x:v>
      </x:c>
      <x:c r="E64" s="90" t="str">
        <x:v>기업별 검증 결과</x:v>
      </x:c>
      <x:c r="F64" s="90" t="str">
        <x:v>N-U02 합의 표본(기존 15곳은 논의 필요)에서 수치/분해/결측/주석/패널/예측/원문/버전 연결을 검증한다. 정답지·추출 표본·모델 학습 수와 혼동하지 않고 결과를 기록한다.</x:v>
      </x:c>
      <x:c r="G64" s="82" t="str"/>
      <x:c r="H64" s="81" t="str">
        <x:v>N-R28
N-R33
N-R34
N-R35
N-R37
N-R38
N-R39
N-R40
N-R41
N-R42
N-R43</x:v>
      </x:c>
      <x:c r="I64" s="81" t="str">
        <x:v>N-F25
N-F31
N-F32
N-F33
N-F35
N-F36
N-F37
N-F38
N-F39
N-F40
N-F41</x:v>
      </x:c>
      <x:c r="J64" s="81" t="str">
        <x:v>N-U02
N-U09
N-U19
N-U20</x:v>
      </x:c>
    </x:row>
    <x:row r="65" ht="133" customHeight="1">
      <x:c r="A65" s="89" t="str">
        <x:v>5.4</x:v>
      </x:c>
      <x:c r="B65" s="90" t="str">
        <x:f>INDEX('작업 관리'!$C$9:$C$77,MATCH($A65,'작업 관리'!$A$9:$A$77,0))</x:f>
        <x:v>현직자 피드백 수렴</x:v>
      </x:c>
      <x:c r="C65" s="90" t="str">
        <x:v>최수인</x:v>
      </x:c>
      <x:c r="D65" s="90" t="str">
        <x:v>5.1</x:v>
      </x:c>
      <x:c r="E65" s="90" t="str">
        <x:v>현직자 의견과 개선 목록</x:v>
      </x:c>
      <x:c r="F65" s="90" t="str">
        <x:v>6개 판단 축·지표·징후 단계 가설·주석·예측 근거·추가 내부 확인의 유용성과 현직자 의견을 기록한다. 건전성 분류/내부 등급으로 오해되는 표현을 점검하고 확인되지 않은 수치를 확정하지 않는다.</x:v>
      </x:c>
      <x:c r="G65" s="82" t="str"/>
      <x:c r="H65" s="81" t="str">
        <x:v>N-R14
N-R24
N-R29
N-R36
N-R38
N-R39
N-R40</x:v>
      </x:c>
      <x:c r="I65" s="81" t="str">
        <x:v>N-F21
N-F26
N-F34
N-F36
N-F37
N-F38</x:v>
      </x:c>
      <x:c r="J65" s="81" t="str">
        <x:v>N-U06
N-U09
N-U12
N-U17
N-U20</x:v>
      </x:c>
    </x:row>
    <x:row r="66" ht="184" customHeight="1">
      <x:c r="A66" s="89" t="str">
        <x:v>5.7</x:v>
      </x:c>
      <x:c r="B66" s="90" t="str">
        <x:f>INDEX('작업 관리'!$C$9:$C$77,MATCH($A66,'작업 관리'!$A$9:$A$77,0))</x:f>
        <x:v>규칙 단계·패널·검출 상태 통합 검수</x:v>
      </x:c>
      <x:c r="C66" s="90" t="str">
        <x:v>서종원·김동민·오준탁</x:v>
      </x:c>
      <x:c r="D66" s="90" t="str">
        <x:v>3.M2, 4.M3, 7.M7</x:v>
      </x:c>
      <x:c r="E66" s="90" t="str">
        <x:v>규칙/확률/체크 분리·패널 시나리오 결과</x:v>
      </x:c>
      <x:c r="F66" s="90" t="str">
        <x:v>4개 업종의 원문→검출 상태→지표/단계→N-S04 차트→체크/메모를 검증한다. 미확보/미검출/추출 실패·표본 부족·모델 보류를 점검하고 현직자 확인 전 가설 수치를 승인 기준처럼 표시하지 않는다.</x:v>
      </x:c>
      <x:c r="G66" s="82" t="str"/>
      <x:c r="H66" s="81" t="str">
        <x:v>N-R14
N-R24
N-R25
N-R26
N-R27
N-R28
N-R38
N-R39
N-R40
N-R43</x:v>
      </x:c>
      <x:c r="I66" s="81" t="str">
        <x:v>N-F21
N-F22
N-F23
N-F24
N-F25
N-F36
N-F37
N-F38
N-F41</x:v>
      </x:c>
      <x:c r="J66" s="81" t="str">
        <x:v>N-U05
N-U08
N-U09
N-U17
N-U20</x:v>
      </x:c>
    </x:row>
    <x:row r="67" ht="86" customHeight="1">
      <x:c r="A67" s="89" t="str">
        <x:v>5.3</x:v>
      </x:c>
      <x:c r="B67" s="90" t="str">
        <x:f>INDEX('작업 관리'!$C$9:$C$77,MATCH($A67,'작업 관리'!$A$9:$A$77,0))</x:f>
        <x:v>수강생 비교 실험</x:v>
      </x:c>
      <x:c r="C67" s="90" t="str">
        <x:v>오준탁</x:v>
      </x:c>
      <x:c r="D67" s="90" t="str">
        <x:v>5.1, 2.5</x:v>
      </x:c>
      <x:c r="E67" s="90" t="str">
        <x:v>실험 과제·측정 결과</x:v>
      </x:c>
      <x:c r="F67" s="90" t="str">
        <x:v>과제 순서 조정 후 검토 시간·미확인 항목·기록 초안 수정량 비교. 표본·조건과 결과 기록</x:v>
      </x:c>
      <x:c r="G67" s="82" t="str"/>
      <x:c r="H67" s="81" t="str">
        <x:v>N-R29</x:v>
      </x:c>
      <x:c r="I67" s="81" t="str">
        <x:v>N-F26</x:v>
      </x:c>
      <x:c r="J67" s="81" t="str">
        <x:v>N-U09</x:v>
      </x:c>
    </x:row>
    <x:row r="68" ht="150" customHeight="1">
      <x:c r="A68" s="89" t="str">
        <x:v>5.5</x:v>
      </x:c>
      <x:c r="B68" s="90" t="str">
        <x:f>INDEX('작업 관리'!$C$9:$C$77,MATCH($A68,'작업 관리'!$A$9:$A$77,0))</x:f>
        <x:v>오류 수정과 재검증</x:v>
      </x:c>
      <x:c r="C68" s="90" t="str">
        <x:v>김동혁·김동민</x:v>
      </x:c>
      <x:c r="D68" s="90" t="str">
        <x:v>5.2, 5.3, 5.4, 7.2, 5.7</x:v>
      </x:c>
      <x:c r="E68" s="90" t="str">
        <x:v>수정 내역·재검증 결과</x:v>
      </x:c>
      <x:c r="F68" s="90" t="str">
        <x:v>재무/주석/검출 상태/위험 단계/모델/화면 오류를 수정하고 영향 계산·데이터·원문 연결을 재검증한다. 미해결·수용 미정 사항과 실제 통과 기록을 구분한다.</x:v>
      </x:c>
      <x:c r="G68" s="82" t="str"/>
      <x:c r="H68" s="81" t="str">
        <x:v>N-R05
N-R28
N-R38
N-R39
N-R40
N-R41
N-R42
N-R43</x:v>
      </x:c>
      <x:c r="I68" s="81" t="str">
        <x:v>N-F03
N-F25
N-F36
N-F37
N-F38
N-F39
N-F40
N-F41</x:v>
      </x:c>
      <x:c r="J68" s="81" t="str">
        <x:v>N-U09
N-U19
N-U20</x:v>
      </x:c>
    </x:row>
    <x:row r="69" ht="184" customHeight="1">
      <x:c r="A69" s="89" t="str">
        <x:v>5.6</x:v>
      </x:c>
      <x:c r="B69" s="90" t="str">
        <x:f>INDEX('작업 관리'!$C$9:$C$77,MATCH($A69,'작업 관리'!$A$9:$A$77,0))</x:f>
        <x:v>검증 보고서와 최종 범위 고정</x:v>
      </x:c>
      <x:c r="C69" s="90" t="str">
        <x:v>최수인</x:v>
      </x:c>
      <x:c r="D69" s="90" t="str">
        <x:v>5.5, 7.2</x:v>
      </x:c>
      <x:c r="E69" s="90" t="str">
        <x:v>검증 보고서·범위 기록</x:v>
      </x:c>
      <x:c r="F69" s="90" t="str">
        <x:v>기능/정답지·계정 확보·추출·사용자 실험·모델 평가 표본을 구분한다. 기준/결합 모델·보정·라벨/시점·업종 한계·미검출 원인·가설 미확정·미정 질문을 분리해 기록한다.</x:v>
      </x:c>
      <x:c r="G69" s="82" t="str"/>
      <x:c r="H69" s="81" t="str">
        <x:v>N-R28
N-R29
N-R30
N-R37
N-R38
N-R39
N-R40
N-R41
N-R42
N-R43</x:v>
      </x:c>
      <x:c r="I69" s="81" t="str">
        <x:v>N-F25
N-F26
N-F27
N-F35
N-F36
N-F37
N-F38
N-F39
N-F40
N-F41</x:v>
      </x:c>
      <x:c r="J69" s="81" t="str">
        <x:v>N-U02
N-U05
N-U09
N-U17
N-U18
N-U19
N-U20</x:v>
      </x:c>
    </x:row>
    <x:row r="70" ht="86" customHeight="1">
      <x:c r="A70" s="89" t="str">
        <x:v>5.M4</x:v>
      </x:c>
      <x:c r="B70" s="90" t="str">
        <x:f>INDEX('작업 관리'!$C$9:$C$77,MATCH($A70,'작업 관리'!$A$9:$A$77,0))</x:f>
        <x:v>핵심 구현과 검증 마감</x:v>
      </x:c>
      <x:c r="C70" s="90" t="str">
        <x:v>전원</x:v>
      </x:c>
      <x:c r="D70" s="90" t="str">
        <x:v>5.6</x:v>
      </x:c>
      <x:c r="E70" s="90" t="str">
        <x:v>시연 기준 버전</x:v>
      </x:c>
      <x:c r="F70" s="90" t="str">
        <x:v>발표에 포함할 기능과 검증 결과 확정</x:v>
      </x:c>
      <x:c r="G70" s="82" t="str"/>
      <x:c r="H70" s="81" t="str">
        <x:v>N-R28
N-R29
N-R30</x:v>
      </x:c>
      <x:c r="I70" s="81" t="str">
        <x:v>N-F25
N-F26
N-F27</x:v>
      </x:c>
      <x:c r="J70" s="81" t="str">
        <x:v>N-U09</x:v>
      </x:c>
    </x:row>
    <x:row r="71" ht="184" customHeight="1">
      <x:c r="A71" s="89" t="str">
        <x:v>6.1</x:v>
      </x:c>
      <x:c r="B71" s="90" t="str">
        <x:f>INDEX('작업 관리'!$C$9:$C$77,MATCH($A71,'작업 관리'!$A$9:$A$77,0))</x:f>
        <x:v>실행 안내와 데이터 문서 정리</x:v>
      </x:c>
      <x:c r="C71" s="90" t="str">
        <x:v>김동혁</x:v>
      </x:c>
      <x:c r="D71" s="90" t="str">
        <x:v>5.M4</x:v>
      </x:c>
      <x:c r="E71" s="90" t="str">
        <x:v>README·항목·출처 문서</x:v>
      </x:c>
      <x:c r="F71" s="90" t="str">
        <x:v>재무/주석/위험 사건 라벨·6축 업종 지표·추출 사전/검출 상태·시점/전처리·학습/평가·의존성·버전·실행 절차를 기록한다. 미정/가설/실제 검증 결과와 향후 확장을 구분한다.</x:v>
      </x:c>
      <x:c r="G71" s="82" t="str"/>
      <x:c r="H71" s="81" t="str">
        <x:v>N-R03
N-R27
N-R30
N-R31
N-R38
N-R39
N-R41
N-R42
N-R43</x:v>
      </x:c>
      <x:c r="I71" s="81" t="str">
        <x:v>N-F02
N-F24
N-F27
N-F28
N-F29
N-F36
N-F37
N-F39
N-F40
N-F41</x:v>
      </x:c>
      <x:c r="J71" s="81" t="str">
        <x:v>N-U08
N-U10
N-U18</x:v>
      </x:c>
    </x:row>
    <x:row r="72" ht="167" customHeight="1">
      <x:c r="A72" s="89" t="str">
        <x:v>6.2</x:v>
      </x:c>
      <x:c r="B72" s="90" t="str">
        <x:f>INDEX('작업 관리'!$C$9:$C$77,MATCH($A72,'작업 관리'!$A$9:$A$77,0))</x:f>
        <x:v>발표자료와 스토리 최종 반영</x:v>
      </x:c>
      <x:c r="C72" s="90" t="str">
        <x:v>최수인</x:v>
      </x:c>
      <x:c r="D72" s="90" t="str">
        <x:v>5.M4</x:v>
      </x:c>
      <x:c r="E72" s="90" t="str">
        <x:v>최종 발표 PPT와 대본</x:v>
      </x:c>
      <x:c r="F72" s="90" t="str">
        <x:v>현업 문제·인터뷰·4개 업종·원문/위험 패널 시연·복합 위험 사건 예측·기준/결합 비교·검증 한계를 반영한다. 렌탈 제외와 15/5 미정 표본을 유지하고 기대효과를 실증 성과로 단정하지 않는다.</x:v>
      </x:c>
      <x:c r="G72" s="82" t="str"/>
      <x:c r="H72" s="81" t="str">
        <x:v>N-R01
N-R14
N-R16
N-R28
N-R29
N-R31
N-R38
N-R39
N-R40</x:v>
      </x:c>
      <x:c r="I72" s="81" t="str">
        <x:v>N-F20
N-F25
N-F26
N-F28
N-F29
N-F36
N-F37
N-F38</x:v>
      </x:c>
      <x:c r="J72" s="81" t="str">
        <x:v>N-U02
N-U05
N-U09
N-U10
N-U17</x:v>
      </x:c>
    </x:row>
    <x:row r="73" ht="201" customHeight="1">
      <x:c r="A73" s="89" t="str">
        <x:v>6.3</x:v>
      </x:c>
      <x:c r="B73" s="90" t="str">
        <x:f>INDEX('작업 관리'!$C$9:$C$77,MATCH($A73,'작업 관리'!$A$9:$A$77,0))</x:f>
        <x:v>시연 영상과 예비 시연 준비</x:v>
      </x:c>
      <x:c r="C73" s="90" t="str">
        <x:v>최수인</x:v>
      </x:c>
      <x:c r="D73" s="90" t="str">
        <x:v>6.2, 5.1</x:v>
      </x:c>
      <x:c r="E73" s="90" t="str">
        <x:v>시연 영상·예비 자료</x:v>
      </x:c>
      <x:c r="F73" s="90" t="str">
        <x:v>기업 검색→재무/변동→공통/업종 주석·검출 상태→규칙 위험 패널→예측 확률/근거→체크/메모 시연과 통신 실패 대안을 확인한다.</x:v>
      </x:c>
      <x:c r="G73" s="82" t="str"/>
      <x:c r="H73" s="81" t="str">
        <x:v>N-R07
N-R11
N-R14
N-R23
N-R25
N-R26
N-R27
N-R30
N-R39
N-R40
N-R43</x:v>
      </x:c>
      <x:c r="I73" s="81" t="str">
        <x:v>N-F05
N-F10
N-F11
N-F20
N-F22
N-F23
N-F24
N-F27
N-F37
N-F38
N-F41</x:v>
      </x:c>
      <x:c r="J73" s="81" t="str">
        <x:v>N-U08
N-U09</x:v>
      </x:c>
    </x:row>
    <x:row r="74" ht="86" customHeight="1">
      <x:c r="A74" s="89" t="str">
        <x:v>6.4</x:v>
      </x:c>
      <x:c r="B74" s="90" t="str">
        <x:f>INDEX('작업 관리'!$C$9:$C$77,MATCH($A74,'작업 관리'!$A$9:$A$77,0))</x:f>
        <x:v>제출 파일과 재현성 점검</x:v>
      </x:c>
      <x:c r="C74" s="90" t="str">
        <x:v>김동민</x:v>
      </x:c>
      <x:c r="D74" s="90" t="str">
        <x:v>6.1, 5.5</x:v>
      </x:c>
      <x:c r="E74" s="90" t="str">
        <x:v>제출 묶음과 점검표</x:v>
      </x:c>
      <x:c r="F74" s="90" t="str">
        <x:v>최신 PRD/요구사항/기능명세/WBS 버전·개정 이력·소스·명세·학습/평가·검증 보고서·PPT/영상을 확인하고 처음부터 실행한다. 자료/파일 존재를 실행·검증 완료와 구분한다.</x:v>
      </x:c>
      <x:c r="G74" s="82" t="str"/>
      <x:c r="H74" s="81" t="str">
        <x:v>N-R28
N-R30</x:v>
      </x:c>
      <x:c r="I74" s="81" t="str">
        <x:v>N-F25
N-F27</x:v>
      </x:c>
      <x:c r="J74" s="81" t="str">
        <x:v>N-U08
N-U09</x:v>
      </x:c>
    </x:row>
    <x:row r="75" ht="86" customHeight="1">
      <x:c r="A75" s="89" t="str">
        <x:v>6.5</x:v>
      </x:c>
      <x:c r="B75" s="90" t="str">
        <x:f>INDEX('작업 관리'!$C$9:$C$77,MATCH($A75,'작업 관리'!$A$9:$A$77,0))</x:f>
        <x:v>발표 리허설과 질의응답 준비</x:v>
      </x:c>
      <x:c r="C75" s="90" t="str">
        <x:v>전원</x:v>
      </x:c>
      <x:c r="D75" s="90" t="str">
        <x:v>6.2</x:v>
      </x:c>
      <x:c r="E75" s="90" t="str">
        <x:v>리허설 기록·예상 질문</x:v>
      </x:c>
      <x:c r="F75" s="90" t="str">
        <x:v>5~10분 발표와 역할·질의응답 확인</x:v>
      </x:c>
      <x:c r="G75" s="82" t="str"/>
      <x:c r="H75" s="81" t="str">
        <x:v>N-R29
N-R30</x:v>
      </x:c>
      <x:c r="I75" s="81" t="str"/>
      <x:c r="J75" s="81" t="str">
        <x:v>N-U09</x:v>
      </x:c>
    </x:row>
    <x:row r="76" ht="86" customHeight="1">
      <x:c r="A76" s="89" t="str">
        <x:v>6.M5</x:v>
      </x:c>
      <x:c r="B76" s="90" t="str">
        <x:f>INDEX('작업 관리'!$C$9:$C$77,MATCH($A76,'작업 관리'!$A$9:$A$77,0))</x:f>
        <x:v>최종 산출물 제출</x:v>
      </x:c>
      <x:c r="C76" s="90" t="str">
        <x:v>오준탁</x:v>
      </x:c>
      <x:c r="D76" s="90" t="str">
        <x:v>6.3, 6.4, 6.5</x:v>
      </x:c>
      <x:c r="E76" s="90" t="str">
        <x:v>제출 접수 확인</x:v>
      </x:c>
      <x:c r="F76" s="90" t="str">
        <x:v>기획안의 11/05 09:00 제출 계획과 실제 교육 마감(N-U09)을 대조한 뒤 접수 확인을 남긴다. 제출 예정과 실제 제출 완료를 구분한다.</x:v>
      </x:c>
      <x:c r="G76" s="82" t="str"/>
      <x:c r="H76" s="81" t="str">
        <x:v>N-R30</x:v>
      </x:c>
      <x:c r="I76" s="81" t="str"/>
      <x:c r="J76" s="81" t="str">
        <x:v>N-U09</x:v>
      </x:c>
    </x:row>
    <x:row r="77" ht="86" customHeight="1">
      <x:c r="A77" s="89" t="str">
        <x:v>6.M6</x:v>
      </x:c>
      <x:c r="B77" s="90" t="str">
        <x:f>INDEX('작업 관리'!$C$9:$C$77,MATCH($A77,'작업 관리'!$A$9:$A$77,0))</x:f>
        <x:v>프로젝트 발표</x:v>
      </x:c>
      <x:c r="C77" s="90" t="str">
        <x:v>전원</x:v>
      </x:c>
      <x:c r="D77" s="90" t="str">
        <x:v>6.M5</x:v>
      </x:c>
      <x:c r="E77" s="90" t="str">
        <x:v>발표·질의응답 기록</x:v>
      </x:c>
      <x:c r="F77" s="90" t="str">
        <x:v>최종 시연·검증 결과·표본/라벨·가설/미정·확장 범위를 설명하고 질의응답을 기록한다.</x:v>
      </x:c>
      <x:c r="G77" s="82" t="str"/>
      <x:c r="H77" s="81" t="str">
        <x:v>N-R28
N-R29
N-R30
N-R31</x:v>
      </x:c>
      <x:c r="I77" s="81" t="str"/>
      <x:c r="J77" s="81" t="str">
        <x:v>N-U09
N-U10</x:v>
      </x:c>
    </x:row>
  </x:sheetData>
  <x:pageMargins left="0.7" right="0.7" top="0.75" bottom="0.75" header="0.3" footer="0.3"/>
  <x:tableParts count="1">
    <x:tablePart xmlns:r="http://schemas.openxmlformats.org/officeDocument/2006/relationships" r:id="Rad54ffc59e2c46b0"/>
  </x:tableParts>
</x:worksheet>
</file>