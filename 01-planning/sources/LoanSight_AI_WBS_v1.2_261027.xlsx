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6" tabRatio="500" activeTab="3"/>
  </bookViews>
  <sheets>
    <sheet name="한눈에 보기" sheetId="1" r:id="rId1"/>
    <sheet name="작업 관리" sheetId="2" r:id="rId2"/>
    <sheet name="일정" sheetId="3" r:id="rId3"/>
    <sheet name="완료 기준" sheetId="4" r:id="rId4"/>
  </sheet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7" i="4" l="1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74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71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59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50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F14" i="1" s="1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H8" i="1"/>
  <c r="F8" i="1"/>
  <c r="B8" i="1"/>
  <c r="G16" i="1"/>
  <c r="G12" i="1"/>
  <c r="H17" i="1"/>
  <c r="H13" i="1"/>
  <c r="G14" i="1"/>
  <c r="H12" i="1"/>
  <c r="G17" i="1"/>
  <c r="G13" i="1"/>
  <c r="H14" i="1"/>
  <c r="H18" i="1"/>
  <c r="G15" i="1"/>
  <c r="H16" i="1"/>
  <c r="G18" i="1"/>
  <c r="H15" i="1"/>
  <c r="D8" i="1" l="1"/>
  <c r="F13" i="1"/>
  <c r="F17" i="1"/>
  <c r="F12" i="1"/>
  <c r="F18" i="1"/>
  <c r="F15" i="1"/>
  <c r="F16" i="1"/>
</calcChain>
</file>

<file path=xl/sharedStrings.xml><?xml version="1.0" encoding="utf-8"?>
<sst xmlns="http://schemas.openxmlformats.org/spreadsheetml/2006/main" count="1072" uniqueCount="585">
  <si>
    <t>LoanSight AI WBS v1.2</t>
  </si>
  <si>
    <t>버전</t>
  </si>
  <si>
    <t>변경 내용</t>
  </si>
  <si>
    <t>개정일</t>
  </si>
  <si>
    <t>작성자</t>
  </si>
  <si>
    <r>
      <rPr>
        <b/>
        <sz val="10"/>
        <color rgb="FFFFFFFF"/>
        <rFont val="Noto Sans CJK SC"/>
        <family val="2"/>
      </rPr>
      <t>검토</t>
    </r>
    <r>
      <rPr>
        <b/>
        <sz val="10"/>
        <color rgb="FFFFFFFF"/>
        <rFont val="맑은 고딕"/>
        <family val="3"/>
        <charset val="129"/>
      </rPr>
      <t>·</t>
    </r>
    <r>
      <rPr>
        <b/>
        <sz val="10"/>
        <color rgb="FFFFFFFF"/>
        <rFont val="Noto Sans CJK SC"/>
        <family val="2"/>
      </rPr>
      <t>승인자</t>
    </r>
  </si>
  <si>
    <t>상태</t>
  </si>
  <si>
    <t>v1.0</t>
  </si>
  <si>
    <r>
      <rPr>
        <sz val="10"/>
        <color rgb="FF1F2937"/>
        <rFont val="Noto Sans CJK SC"/>
        <family val="2"/>
      </rPr>
      <t xml:space="preserve">기존 계획 기준 </t>
    </r>
    <r>
      <rPr>
        <sz val="10"/>
        <color rgb="FF1F2937"/>
        <rFont val="맑은 고딕"/>
        <family val="3"/>
        <charset val="129"/>
      </rPr>
      <t>56</t>
    </r>
    <r>
      <rPr>
        <sz val="10"/>
        <color rgb="FF1F2937"/>
        <rFont val="Noto Sans CJK SC"/>
        <family val="2"/>
      </rPr>
      <t>개 작업과 완료</t>
    </r>
    <r>
      <rPr>
        <sz val="10"/>
        <color rgb="FF1F2937"/>
        <rFont val="맑은 고딕"/>
        <family val="3"/>
        <charset val="129"/>
      </rPr>
      <t>/</t>
    </r>
    <r>
      <rPr>
        <sz val="10"/>
        <color rgb="FF1F2937"/>
        <rFont val="Noto Sans CJK SC"/>
        <family val="2"/>
      </rPr>
      <t>미확인 상태</t>
    </r>
    <r>
      <rPr>
        <sz val="10"/>
        <color rgb="FF1F2937"/>
        <rFont val="맑은 고딕"/>
        <family val="3"/>
        <charset val="129"/>
      </rPr>
      <t>·</t>
    </r>
    <r>
      <rPr>
        <sz val="10"/>
        <color rgb="FF1F2937"/>
        <rFont val="Noto Sans CJK SC"/>
        <family val="2"/>
      </rPr>
      <t>일정 정리</t>
    </r>
    <r>
      <rPr>
        <sz val="10"/>
        <color rgb="FF1F2937"/>
        <rFont val="맑은 고딕"/>
        <family val="3"/>
        <charset val="129"/>
      </rPr>
      <t xml:space="preserve">. </t>
    </r>
    <r>
      <rPr>
        <sz val="10"/>
        <color rgb="FF1F2937"/>
        <rFont val="Noto Sans CJK SC"/>
        <family val="2"/>
      </rPr>
      <t>기존 재무나침반 표기를 포함한 원본 보존</t>
    </r>
    <r>
      <rPr>
        <sz val="10"/>
        <color rgb="FF1F2937"/>
        <rFont val="맑은 고딕"/>
        <family val="3"/>
        <charset val="129"/>
      </rPr>
      <t>.</t>
    </r>
  </si>
  <si>
    <t>김동혁</t>
  </si>
  <si>
    <t>미정</t>
  </si>
  <si>
    <t>이전본</t>
  </si>
  <si>
    <t>v1.1</t>
  </si>
  <si>
    <r>
      <rPr>
        <sz val="10"/>
        <color rgb="FF1F2937"/>
        <rFont val="맑은 고딕"/>
        <family val="3"/>
        <charset val="129"/>
      </rPr>
      <t xml:space="preserve">LoanSight AI </t>
    </r>
    <r>
      <rPr>
        <sz val="10"/>
        <color rgb="FF1F2937"/>
        <rFont val="Noto Sans CJK SC"/>
        <family val="2"/>
      </rPr>
      <t xml:space="preserve">기획안 </t>
    </r>
    <r>
      <rPr>
        <sz val="10"/>
        <color rgb="FF1F2937"/>
        <rFont val="맑은 고딕"/>
        <family val="3"/>
        <charset val="129"/>
      </rPr>
      <t>v2.0·</t>
    </r>
    <r>
      <rPr>
        <sz val="10"/>
        <color rgb="FF1F2937"/>
        <rFont val="Noto Sans CJK SC"/>
        <family val="2"/>
      </rPr>
      <t xml:space="preserve">요구사항 </t>
    </r>
    <r>
      <rPr>
        <sz val="10"/>
        <color rgb="FF1F2937"/>
        <rFont val="맑은 고딕"/>
        <family val="3"/>
        <charset val="129"/>
      </rPr>
      <t xml:space="preserve">v0.0.4 </t>
    </r>
    <r>
      <rPr>
        <sz val="10"/>
        <color rgb="FF1F2937"/>
        <rFont val="Noto Sans CJK SC"/>
        <family val="2"/>
      </rPr>
      <t>반영</t>
    </r>
    <r>
      <rPr>
        <sz val="10"/>
        <color rgb="FF1F2937"/>
        <rFont val="맑은 고딕"/>
        <family val="3"/>
        <charset val="129"/>
      </rPr>
      <t xml:space="preserve">. </t>
    </r>
    <r>
      <rPr>
        <sz val="10"/>
        <color rgb="FF1F2937"/>
        <rFont val="Noto Sans CJK SC"/>
        <family val="2"/>
      </rPr>
      <t xml:space="preserve">기존 </t>
    </r>
    <r>
      <rPr>
        <sz val="10"/>
        <color rgb="FF1F2937"/>
        <rFont val="맑은 고딕"/>
        <family val="3"/>
        <charset val="129"/>
      </rPr>
      <t xml:space="preserve">56 ID </t>
    </r>
    <r>
      <rPr>
        <sz val="10"/>
        <color rgb="FF1F2937"/>
        <rFont val="Noto Sans CJK SC"/>
        <family val="2"/>
      </rPr>
      <t>유지</t>
    </r>
    <r>
      <rPr>
        <sz val="10"/>
        <color rgb="FF1F2937"/>
        <rFont val="맑은 고딕"/>
        <family val="3"/>
        <charset val="129"/>
      </rPr>
      <t xml:space="preserve">·13 </t>
    </r>
    <r>
      <rPr>
        <sz val="10"/>
        <color rgb="FF1F2937"/>
        <rFont val="Noto Sans CJK SC"/>
        <family val="2"/>
      </rPr>
      <t>작업 추가</t>
    </r>
    <r>
      <rPr>
        <sz val="10"/>
        <color rgb="FF1F2937"/>
        <rFont val="맑은 고딕"/>
        <family val="3"/>
        <charset val="129"/>
      </rPr>
      <t>. 4</t>
    </r>
    <r>
      <rPr>
        <sz val="10"/>
        <color rgb="FF1F2937"/>
        <rFont val="Noto Sans CJK SC"/>
        <family val="2"/>
      </rPr>
      <t>개 업종</t>
    </r>
    <r>
      <rPr>
        <sz val="10"/>
        <color rgb="FF1F2937"/>
        <rFont val="맑은 고딕"/>
        <family val="3"/>
        <charset val="129"/>
      </rPr>
      <t>/</t>
    </r>
    <r>
      <rPr>
        <sz val="10"/>
        <color rgb="FF1F2937"/>
        <rFont val="Noto Sans CJK SC"/>
        <family val="2"/>
      </rPr>
      <t>렌탈 제외</t>
    </r>
    <r>
      <rPr>
        <sz val="10"/>
        <color rgb="FF1F2937"/>
        <rFont val="맑은 고딕"/>
        <family val="3"/>
        <charset val="129"/>
      </rPr>
      <t>·</t>
    </r>
    <r>
      <rPr>
        <sz val="10"/>
        <color rgb="FF1F2937"/>
        <rFont val="Noto Sans CJK SC"/>
        <family val="2"/>
      </rPr>
      <t>위험 사건 목표</t>
    </r>
    <r>
      <rPr>
        <sz val="10"/>
        <color rgb="FF1F2937"/>
        <rFont val="맑은 고딕"/>
        <family val="3"/>
        <charset val="129"/>
      </rPr>
      <t>·6</t>
    </r>
    <r>
      <rPr>
        <sz val="10"/>
        <color rgb="FF1F2937"/>
        <rFont val="Noto Sans CJK SC"/>
        <family val="2"/>
      </rPr>
      <t>축 지표</t>
    </r>
    <r>
      <rPr>
        <sz val="10"/>
        <color rgb="FF1F2937"/>
        <rFont val="맑은 고딕"/>
        <family val="3"/>
        <charset val="129"/>
      </rPr>
      <t>/</t>
    </r>
    <r>
      <rPr>
        <sz val="10"/>
        <color rgb="FF1F2937"/>
        <rFont val="Noto Sans CJK SC"/>
        <family val="2"/>
      </rPr>
      <t>단계</t>
    </r>
    <r>
      <rPr>
        <sz val="10"/>
        <color rgb="FF1F2937"/>
        <rFont val="맑은 고딕"/>
        <family val="3"/>
        <charset val="129"/>
      </rPr>
      <t>·</t>
    </r>
    <r>
      <rPr>
        <sz val="10"/>
        <color rgb="FF1F2937"/>
        <rFont val="Noto Sans CJK SC"/>
        <family val="2"/>
      </rPr>
      <t>위험 패널</t>
    </r>
    <r>
      <rPr>
        <sz val="10"/>
        <color rgb="FF1F2937"/>
        <rFont val="맑은 고딕"/>
        <family val="3"/>
        <charset val="129"/>
      </rPr>
      <t>·</t>
    </r>
    <r>
      <rPr>
        <sz val="10"/>
        <color rgb="FF1F2937"/>
        <rFont val="Noto Sans CJK SC"/>
        <family val="2"/>
      </rPr>
      <t>주석 추출</t>
    </r>
    <r>
      <rPr>
        <sz val="10"/>
        <color rgb="FF1F2937"/>
        <rFont val="맑은 고딕"/>
        <family val="3"/>
        <charset val="129"/>
      </rPr>
      <t>/</t>
    </r>
    <r>
      <rPr>
        <sz val="10"/>
        <color rgb="FF1F2937"/>
        <rFont val="Noto Sans CJK SC"/>
        <family val="2"/>
      </rPr>
      <t>검출 상태 반영</t>
    </r>
    <r>
      <rPr>
        <sz val="10"/>
        <color rgb="FF1F2937"/>
        <rFont val="맑은 고딕"/>
        <family val="3"/>
        <charset val="129"/>
      </rPr>
      <t xml:space="preserve">. R43/F41/U20 </t>
    </r>
    <r>
      <rPr>
        <sz val="10"/>
        <color rgb="FF1F2937"/>
        <rFont val="Noto Sans CJK SC"/>
        <family val="2"/>
      </rPr>
      <t>연결</t>
    </r>
    <r>
      <rPr>
        <sz val="10"/>
        <color rgb="FF1F2937"/>
        <rFont val="맑은 고딕"/>
        <family val="3"/>
        <charset val="129"/>
      </rPr>
      <t>.</t>
    </r>
  </si>
  <si>
    <t>검토 대기</t>
  </si>
  <si>
    <t>전체 항목</t>
  </si>
  <si>
    <t>완료 확인</t>
  </si>
  <si>
    <t>진행 미확인</t>
  </si>
  <si>
    <t>예정</t>
  </si>
  <si>
    <t>단계별 계획</t>
  </si>
  <si>
    <t>단계</t>
  </si>
  <si>
    <t>핵심 산출물</t>
  </si>
  <si>
    <t>필수</t>
  </si>
  <si>
    <t>보완</t>
  </si>
  <si>
    <t>마일스톤</t>
  </si>
  <si>
    <t>시작</t>
  </si>
  <si>
    <t>마감</t>
  </si>
  <si>
    <t>기획·범위</t>
  </si>
  <si>
    <t>기획안·4개 업종·산식·복합 위험 사건/미정 기준</t>
  </si>
  <si>
    <t>데이터</t>
  </si>
  <si>
    <t>재무·주석·위험 사건 이력·계정 확보·검출 상태</t>
  </si>
  <si>
    <t>분석·화면</t>
  </si>
  <si>
    <t>차입/영업순환·직접 입력·업종 변경·위험 패널</t>
  </si>
  <si>
    <t>AI·뉴스</t>
  </si>
  <si>
    <t>공통/업종 추출·정밀도/재현율·근거 요약/뉴스 보완</t>
  </si>
  <si>
    <t>위험 사건 예측</t>
  </si>
  <si>
    <t>12개월 기준/결합 모델 비교·보정·시점 검증</t>
  </si>
  <si>
    <t>통합·검증</t>
  </si>
  <si>
    <t>기능·원문·패널·모델 검수와 사용자 실험</t>
  </si>
  <si>
    <t>제출·발표</t>
  </si>
  <si>
    <t>실행 안내·발표·시연영상·제출</t>
  </si>
  <si>
    <t>주요 마일스톤</t>
  </si>
  <si>
    <t>ID</t>
  </si>
  <si>
    <t>담당</t>
  </si>
  <si>
    <t>선행 ID</t>
  </si>
  <si>
    <t>산출물</t>
  </si>
  <si>
    <t>1.M1</t>
  </si>
  <si>
    <t>3.M2</t>
  </si>
  <si>
    <t>4.M3</t>
  </si>
  <si>
    <t>7.M7</t>
  </si>
  <si>
    <t>5.M4</t>
  </si>
  <si>
    <t>6.M5</t>
  </si>
  <si>
    <t>6.M6</t>
  </si>
  <si>
    <t>문서 기준과 사용 안내</t>
  </si>
  <si>
    <t>기준 문서</t>
  </si>
  <si>
    <r>
      <rPr>
        <sz val="11"/>
        <color rgb="FF374151"/>
        <rFont val="Noto Sans CJK SC"/>
        <family val="2"/>
      </rPr>
      <t xml:space="preserve">기획안 </t>
    </r>
    <r>
      <rPr>
        <sz val="11"/>
        <color rgb="FF374151"/>
        <rFont val="맑은 고딕"/>
        <family val="3"/>
        <charset val="129"/>
      </rPr>
      <t xml:space="preserve">v2.0 · </t>
    </r>
    <r>
      <rPr>
        <sz val="11"/>
        <color rgb="FF374151"/>
        <rFont val="Noto Sans CJK SC"/>
        <family val="2"/>
      </rPr>
      <t>요구사항</t>
    </r>
    <r>
      <rPr>
        <sz val="11"/>
        <color rgb="FF374151"/>
        <rFont val="맑은 고딕"/>
        <family val="3"/>
        <charset val="129"/>
      </rPr>
      <t>/PRD/</t>
    </r>
    <r>
      <rPr>
        <sz val="11"/>
        <color rgb="FF374151"/>
        <rFont val="Noto Sans CJK SC"/>
        <family val="2"/>
      </rPr>
      <t xml:space="preserve">기능명세서 </t>
    </r>
    <r>
      <rPr>
        <sz val="11"/>
        <color rgb="FF374151"/>
        <rFont val="맑은 고딕"/>
        <family val="3"/>
        <charset val="129"/>
      </rPr>
      <t>v0.0.4</t>
    </r>
    <r>
      <rPr>
        <sz val="11"/>
        <color rgb="FF374151"/>
        <rFont val="Noto Sans CJK SC"/>
        <family val="2"/>
      </rPr>
      <t>。</t>
    </r>
    <r>
      <rPr>
        <sz val="11"/>
        <color rgb="FF374151"/>
        <rFont val="맑은 고딕"/>
        <family val="3"/>
        <charset val="129"/>
      </rPr>
      <t>WBS</t>
    </r>
    <r>
      <rPr>
        <sz val="11"/>
        <color rgb="FF374151"/>
        <rFont val="Noto Sans CJK SC"/>
        <family val="2"/>
      </rPr>
      <t xml:space="preserve">는 독립 버전 </t>
    </r>
    <r>
      <rPr>
        <sz val="11"/>
        <color rgb="FF374151"/>
        <rFont val="맑은 고딕"/>
        <family val="3"/>
        <charset val="129"/>
      </rPr>
      <t>v1.0→v1.1</t>
    </r>
    <r>
      <rPr>
        <sz val="11"/>
        <color rgb="FF374151"/>
        <rFont val="Noto Sans CJK SC"/>
        <family val="2"/>
      </rPr>
      <t>로 개정했다</t>
    </r>
    <r>
      <rPr>
        <sz val="11"/>
        <color rgb="FF374151"/>
        <rFont val="맑은 고딕"/>
        <family val="3"/>
        <charset val="129"/>
      </rPr>
      <t xml:space="preserve">. </t>
    </r>
    <r>
      <rPr>
        <sz val="11"/>
        <color rgb="FF374151"/>
        <rFont val="Noto Sans CJK SC"/>
        <family val="2"/>
      </rPr>
      <t xml:space="preserve">기준은 기획안 </t>
    </r>
    <r>
      <rPr>
        <sz val="11"/>
        <color rgb="FF374151"/>
        <rFont val="맑은 고딕"/>
        <family val="3"/>
        <charset val="129"/>
      </rPr>
      <t xml:space="preserve">v2.0, </t>
    </r>
    <r>
      <rPr>
        <sz val="11"/>
        <color rgb="FF374151"/>
        <rFont val="Noto Sans CJK SC"/>
        <family val="2"/>
      </rPr>
      <t>요구사항</t>
    </r>
    <r>
      <rPr>
        <sz val="11"/>
        <color rgb="FF374151"/>
        <rFont val="맑은 고딕"/>
        <family val="3"/>
        <charset val="129"/>
      </rPr>
      <t>/PRD/</t>
    </r>
    <r>
      <rPr>
        <sz val="11"/>
        <color rgb="FF374151"/>
        <rFont val="Noto Sans CJK SC"/>
        <family val="2"/>
      </rPr>
      <t xml:space="preserve">기능명세서 </t>
    </r>
    <r>
      <rPr>
        <sz val="11"/>
        <color rgb="FF374151"/>
        <rFont val="맑은 고딕"/>
        <family val="3"/>
        <charset val="129"/>
      </rPr>
      <t>v0.0.4</t>
    </r>
    <r>
      <rPr>
        <sz val="11"/>
        <color rgb="FF374151"/>
        <rFont val="Noto Sans CJK SC"/>
        <family val="2"/>
      </rPr>
      <t>이며 문서별 버전 숫자를 임의로 통일하지 않는다</t>
    </r>
    <r>
      <rPr>
        <sz val="11"/>
        <color rgb="FF374151"/>
        <rFont val="맑은 고딕"/>
        <family val="3"/>
        <charset val="129"/>
      </rPr>
      <t>.</t>
    </r>
  </si>
  <si>
    <t>계획과 실제</t>
  </si>
  <si>
    <r>
      <rPr>
        <sz val="11"/>
        <color rgb="FF374151"/>
        <rFont val="Noto Sans CJK SC"/>
        <family val="2"/>
      </rPr>
      <t xml:space="preserve">계획 기간 </t>
    </r>
    <r>
      <rPr>
        <sz val="11"/>
        <color rgb="FF374151"/>
        <rFont val="맑은 고딕"/>
        <family val="3"/>
        <charset val="129"/>
      </rPr>
      <t xml:space="preserve">2026.10.21~11.05, </t>
    </r>
    <r>
      <rPr>
        <sz val="11"/>
        <color rgb="FF374151"/>
        <rFont val="Noto Sans CJK SC"/>
        <family val="2"/>
      </rPr>
      <t xml:space="preserve">기획안 제출 </t>
    </r>
    <r>
      <rPr>
        <sz val="11"/>
        <color rgb="FF374151"/>
        <rFont val="맑은 고딕"/>
        <family val="3"/>
        <charset val="129"/>
      </rPr>
      <t xml:space="preserve">11/05 09:00(N-U09 </t>
    </r>
    <r>
      <rPr>
        <sz val="11"/>
        <color rgb="FF374151"/>
        <rFont val="Noto Sans CJK SC"/>
        <family val="2"/>
      </rPr>
      <t>확인 필요</t>
    </r>
    <r>
      <rPr>
        <sz val="11"/>
        <color rgb="FF374151"/>
        <rFont val="맑은 고딕"/>
        <family val="3"/>
        <charset val="129"/>
      </rPr>
      <t>)</t>
    </r>
    <r>
      <rPr>
        <sz val="11"/>
        <color rgb="FF374151"/>
        <rFont val="Noto Sans CJK SC"/>
        <family val="2"/>
      </rPr>
      <t>。</t>
    </r>
    <r>
      <rPr>
        <sz val="11"/>
        <color rgb="FF374151"/>
        <rFont val="맑은 고딕"/>
        <family val="3"/>
        <charset val="129"/>
      </rPr>
      <t>69</t>
    </r>
    <r>
      <rPr>
        <sz val="11"/>
        <color rgb="FF374151"/>
        <rFont val="Noto Sans CJK SC"/>
        <family val="2"/>
      </rPr>
      <t>개</t>
    </r>
    <r>
      <rPr>
        <sz val="11"/>
        <color rgb="FF374151"/>
        <rFont val="맑은 고딕"/>
        <family val="3"/>
        <charset val="129"/>
      </rPr>
      <t>(</t>
    </r>
    <r>
      <rPr>
        <sz val="11"/>
        <color rgb="FF374151"/>
        <rFont val="Noto Sans CJK SC"/>
        <family val="2"/>
      </rPr>
      <t>필수</t>
    </r>
    <r>
      <rPr>
        <sz val="11"/>
        <color rgb="FF374151"/>
        <rFont val="맑은 고딕"/>
        <family val="3"/>
        <charset val="129"/>
      </rPr>
      <t>59·</t>
    </r>
    <r>
      <rPr>
        <sz val="11"/>
        <color rgb="FF374151"/>
        <rFont val="Noto Sans CJK SC"/>
        <family val="2"/>
      </rPr>
      <t>뉴스 보완</t>
    </r>
    <r>
      <rPr>
        <sz val="11"/>
        <color rgb="FF374151"/>
        <rFont val="맑은 고딕"/>
        <family val="3"/>
        <charset val="129"/>
      </rPr>
      <t>3·</t>
    </r>
    <r>
      <rPr>
        <sz val="11"/>
        <color rgb="FF374151"/>
        <rFont val="Noto Sans CJK SC"/>
        <family val="2"/>
      </rPr>
      <t>마일스톤</t>
    </r>
    <r>
      <rPr>
        <sz val="11"/>
        <color rgb="FF374151"/>
        <rFont val="맑은 고딕"/>
        <family val="3"/>
        <charset val="129"/>
      </rPr>
      <t>7)</t>
    </r>
    <r>
      <rPr>
        <sz val="11"/>
        <color rgb="FF374151"/>
        <rFont val="Noto Sans CJK SC"/>
        <family val="2"/>
      </rPr>
      <t>。기존</t>
    </r>
    <r>
      <rPr>
        <sz val="11"/>
        <color rgb="FF374151"/>
        <rFont val="맑은 고딕"/>
        <family val="3"/>
        <charset val="129"/>
      </rPr>
      <t xml:space="preserve">56 ID </t>
    </r>
    <r>
      <rPr>
        <sz val="11"/>
        <color rgb="FF374151"/>
        <rFont val="Noto Sans CJK SC"/>
        <family val="2"/>
      </rPr>
      <t>유지</t>
    </r>
    <r>
      <rPr>
        <sz val="11"/>
        <color rgb="FF374151"/>
        <rFont val="맑은 고딕"/>
        <family val="3"/>
        <charset val="129"/>
      </rPr>
      <t>·13</t>
    </r>
    <r>
      <rPr>
        <sz val="11"/>
        <color rgb="FF374151"/>
        <rFont val="Noto Sans CJK SC"/>
        <family val="2"/>
      </rPr>
      <t>개 추가。완료</t>
    </r>
    <r>
      <rPr>
        <sz val="11"/>
        <color rgb="FF374151"/>
        <rFont val="맑은 고딕"/>
        <family val="3"/>
        <charset val="129"/>
      </rPr>
      <t>2</t>
    </r>
    <r>
      <rPr>
        <sz val="11"/>
        <color rgb="FF374151"/>
        <rFont val="Noto Sans CJK SC"/>
        <family val="2"/>
      </rPr>
      <t>는 과거 기획안</t>
    </r>
    <r>
      <rPr>
        <sz val="11"/>
        <color rgb="FF374151"/>
        <rFont val="맑은 고딕"/>
        <family val="3"/>
        <charset val="129"/>
      </rPr>
      <t>/</t>
    </r>
    <r>
      <rPr>
        <sz val="11"/>
        <color rgb="FF374151"/>
        <rFont val="Noto Sans CJK SC"/>
        <family val="2"/>
      </rPr>
      <t>발표 초안만 해당</t>
    </r>
    <r>
      <rPr>
        <sz val="11"/>
        <color rgb="FF374151"/>
        <rFont val="맑은 고딕"/>
        <family val="3"/>
        <charset val="129"/>
      </rPr>
      <t xml:space="preserve">, </t>
    </r>
    <r>
      <rPr>
        <sz val="11"/>
        <color rgb="FF374151"/>
        <rFont val="Noto Sans CJK SC"/>
        <family val="2"/>
      </rPr>
      <t>실제 진척 미확인</t>
    </r>
    <r>
      <rPr>
        <sz val="11"/>
        <color rgb="FF374151"/>
        <rFont val="맑은 고딕"/>
        <family val="3"/>
        <charset val="129"/>
      </rPr>
      <t>41·</t>
    </r>
    <r>
      <rPr>
        <sz val="11"/>
        <color rgb="FF374151"/>
        <rFont val="Noto Sans CJK SC"/>
        <family val="2"/>
      </rPr>
      <t>예정</t>
    </r>
    <r>
      <rPr>
        <sz val="11"/>
        <color rgb="FF374151"/>
        <rFont val="맑은 고딕"/>
        <family val="3"/>
        <charset val="129"/>
      </rPr>
      <t>26</t>
    </r>
    <r>
      <rPr>
        <sz val="11"/>
        <color rgb="FF374151"/>
        <rFont val="Noto Sans CJK SC"/>
        <family val="2"/>
      </rPr>
      <t>。</t>
    </r>
  </si>
  <si>
    <t>일정·담당 초안</t>
  </si>
  <si>
    <r>
      <rPr>
        <sz val="11"/>
        <color rgb="FF374151"/>
        <rFont val="Noto Sans CJK SC"/>
        <family val="2"/>
      </rPr>
      <t>원문 기간 창을 분해한 실행 초안이다</t>
    </r>
    <r>
      <rPr>
        <sz val="11"/>
        <color rgb="FF374151"/>
        <rFont val="맑은 고딕"/>
        <family val="3"/>
        <charset val="129"/>
      </rPr>
      <t xml:space="preserve">. </t>
    </r>
    <r>
      <rPr>
        <sz val="11"/>
        <color rgb="FF374151"/>
        <rFont val="Noto Sans CJK SC"/>
        <family val="2"/>
      </rPr>
      <t>기존 시작</t>
    </r>
    <r>
      <rPr>
        <sz val="11"/>
        <color rgb="FF374151"/>
        <rFont val="맑은 고딕"/>
        <family val="3"/>
        <charset val="129"/>
      </rPr>
      <t>/</t>
    </r>
    <r>
      <rPr>
        <sz val="11"/>
        <color rgb="FF374151"/>
        <rFont val="Noto Sans CJK SC"/>
        <family val="2"/>
      </rPr>
      <t>종료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>주담당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>상태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>진행률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 xml:space="preserve">완료근거를 보존하고 </t>
    </r>
    <r>
      <rPr>
        <sz val="11"/>
        <color rgb="FF374151"/>
        <rFont val="맑은 고딕"/>
        <family val="3"/>
        <charset val="129"/>
      </rPr>
      <t>7.3</t>
    </r>
    <r>
      <rPr>
        <sz val="11"/>
        <color rgb="FF374151"/>
        <rFont val="Noto Sans CJK SC"/>
        <family val="2"/>
      </rPr>
      <t xml:space="preserve">만 업종 추출 선행조건에 맞춰 </t>
    </r>
    <r>
      <rPr>
        <sz val="11"/>
        <color rgb="FF374151"/>
        <rFont val="맑은 고딕"/>
        <family val="3"/>
        <charset val="129"/>
      </rPr>
      <t xml:space="preserve">10/28 </t>
    </r>
    <r>
      <rPr>
        <sz val="11"/>
        <color rgb="FF374151"/>
        <rFont val="Noto Sans CJK SC"/>
        <family val="2"/>
      </rPr>
      <t>시작으로 조정했다</t>
    </r>
    <r>
      <rPr>
        <sz val="11"/>
        <color rgb="FF374151"/>
        <rFont val="맑은 고딕"/>
        <family val="3"/>
        <charset val="129"/>
      </rPr>
      <t xml:space="preserve">. </t>
    </r>
    <r>
      <rPr>
        <sz val="11"/>
        <color rgb="FF374151"/>
        <rFont val="Noto Sans CJK SC"/>
        <family val="2"/>
      </rPr>
      <t>같은 날 선행</t>
    </r>
    <r>
      <rPr>
        <sz val="11"/>
        <color rgb="FF374151"/>
        <rFont val="맑은 고딕"/>
        <family val="3"/>
        <charset val="129"/>
      </rPr>
      <t>/</t>
    </r>
    <r>
      <rPr>
        <sz val="11"/>
        <color rgb="FF374151"/>
        <rFont val="Noto Sans CJK SC"/>
        <family val="2"/>
      </rPr>
      <t>후속은 당일 인수인계 전제。과거 미확인 항목은 팀 재확인이 필요하다</t>
    </r>
    <r>
      <rPr>
        <sz val="11"/>
        <color rgb="FF374151"/>
        <rFont val="맑은 고딕"/>
        <family val="3"/>
        <charset val="129"/>
      </rPr>
      <t xml:space="preserve">. </t>
    </r>
    <r>
      <rPr>
        <sz val="11"/>
        <color rgb="FF374151"/>
        <rFont val="Noto Sans CJK SC"/>
        <family val="2"/>
      </rPr>
      <t>개인별 공수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>백업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>최종 승인자는 미정。</t>
    </r>
  </si>
  <si>
    <t>범위·충돌 처리</t>
  </si>
  <si>
    <r>
      <rPr>
        <sz val="11"/>
        <color rgb="FF374151"/>
        <rFont val="Noto Sans CJK SC"/>
        <family val="2"/>
      </rPr>
      <t>제조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>건설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>도소매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 xml:space="preserve">부동산 임대 </t>
    </r>
    <r>
      <rPr>
        <sz val="11"/>
        <color rgb="FF374151"/>
        <rFont val="맑은 고딕"/>
        <family val="3"/>
        <charset val="129"/>
      </rPr>
      <t>4</t>
    </r>
    <r>
      <rPr>
        <sz val="11"/>
        <color rgb="FF374151"/>
        <rFont val="Noto Sans CJK SC"/>
        <family val="2"/>
      </rPr>
      <t>개</t>
    </r>
    <r>
      <rPr>
        <sz val="11"/>
        <color rgb="FF374151"/>
        <rFont val="맑은 고딕"/>
        <family val="3"/>
        <charset val="129"/>
      </rPr>
      <t xml:space="preserve">, </t>
    </r>
    <r>
      <rPr>
        <sz val="11"/>
        <color rgb="FF374151"/>
        <rFont val="Noto Sans CJK SC"/>
        <family val="2"/>
      </rPr>
      <t>장비</t>
    </r>
    <r>
      <rPr>
        <sz val="11"/>
        <color rgb="FF374151"/>
        <rFont val="맑은 고딕"/>
        <family val="3"/>
        <charset val="129"/>
      </rPr>
      <t>/</t>
    </r>
    <r>
      <rPr>
        <sz val="11"/>
        <color rgb="FF374151"/>
        <rFont val="Noto Sans CJK SC"/>
        <family val="2"/>
      </rPr>
      <t xml:space="preserve">물품 렌탈 제외。충돌 시 요구사항의 </t>
    </r>
    <r>
      <rPr>
        <sz val="11"/>
        <color rgb="FF374151"/>
        <rFont val="맑은 고딕"/>
        <family val="3"/>
        <charset val="129"/>
      </rPr>
      <t xml:space="preserve">10/23 </t>
    </r>
    <r>
      <rPr>
        <sz val="11"/>
        <color rgb="FF374151"/>
        <rFont val="Noto Sans CJK SC"/>
        <family val="2"/>
      </rPr>
      <t>팀 결정을 우선한다</t>
    </r>
    <r>
      <rPr>
        <sz val="11"/>
        <color rgb="FF374151"/>
        <rFont val="맑은 고딕"/>
        <family val="3"/>
        <charset val="129"/>
      </rPr>
      <t xml:space="preserve">. </t>
    </r>
    <r>
      <rPr>
        <sz val="11"/>
        <color rgb="FF374151"/>
        <rFont val="Noto Sans CJK SC"/>
        <family val="2"/>
      </rPr>
      <t>기능</t>
    </r>
    <r>
      <rPr>
        <sz val="11"/>
        <color rgb="FF374151"/>
        <rFont val="맑은 고딕"/>
        <family val="3"/>
        <charset val="129"/>
      </rPr>
      <t>15/</t>
    </r>
    <r>
      <rPr>
        <sz val="11"/>
        <color rgb="FF374151"/>
        <rFont val="Noto Sans CJK SC"/>
        <family val="2"/>
      </rPr>
      <t>정답지</t>
    </r>
    <r>
      <rPr>
        <sz val="11"/>
        <color rgb="FF374151"/>
        <rFont val="맑은 고딕"/>
        <family val="3"/>
        <charset val="129"/>
      </rPr>
      <t>5</t>
    </r>
    <r>
      <rPr>
        <sz val="11"/>
        <color rgb="FF374151"/>
        <rFont val="Noto Sans CJK SC"/>
        <family val="2"/>
      </rPr>
      <t>는 논의 필요。추출</t>
    </r>
    <r>
      <rPr>
        <sz val="11"/>
        <color rgb="FF374151"/>
        <rFont val="맑은 고딕"/>
        <family val="3"/>
        <charset val="129"/>
      </rPr>
      <t>40</t>
    </r>
    <r>
      <rPr>
        <sz val="11"/>
        <color rgb="FF374151"/>
        <rFont val="Noto Sans CJK SC"/>
        <family val="2"/>
      </rPr>
      <t>개사 인용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>계정 점검 업종별</t>
    </r>
    <r>
      <rPr>
        <sz val="11"/>
        <color rgb="FF374151"/>
        <rFont val="맑은 고딕"/>
        <family val="3"/>
        <charset val="129"/>
      </rPr>
      <t>5</t>
    </r>
    <r>
      <rPr>
        <sz val="11"/>
        <color rgb="FF374151"/>
        <rFont val="Noto Sans CJK SC"/>
        <family val="2"/>
      </rPr>
      <t>이상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>모델 표본을 구분한다</t>
    </r>
    <r>
      <rPr>
        <sz val="11"/>
        <color rgb="FF374151"/>
        <rFont val="맑은 고딕"/>
        <family val="3"/>
        <charset val="129"/>
      </rPr>
      <t>.</t>
    </r>
  </si>
  <si>
    <t>결정·검증</t>
  </si>
  <si>
    <r>
      <rPr>
        <sz val="11"/>
        <color rgb="FF374151"/>
        <rFont val="Noto Sans CJK SC"/>
        <family val="2"/>
      </rPr>
      <t>수치 임계값은 팀 가설이며 현직자 확인 전이다</t>
    </r>
    <r>
      <rPr>
        <sz val="11"/>
        <color rgb="FF374151"/>
        <rFont val="맑은 고딕"/>
        <family val="3"/>
        <charset val="129"/>
      </rPr>
      <t xml:space="preserve">. </t>
    </r>
    <r>
      <rPr>
        <sz val="11"/>
        <color rgb="FF374151"/>
        <rFont val="Noto Sans CJK SC"/>
        <family val="2"/>
      </rPr>
      <t>규칙 단계</t>
    </r>
    <r>
      <rPr>
        <sz val="11"/>
        <color rgb="FF374151"/>
        <rFont val="맑은 고딕"/>
        <family val="3"/>
        <charset val="129"/>
      </rPr>
      <t>/</t>
    </r>
    <r>
      <rPr>
        <sz val="11"/>
        <color rgb="FF374151"/>
        <rFont val="Noto Sans CJK SC"/>
        <family val="2"/>
      </rPr>
      <t>모델 확률</t>
    </r>
    <r>
      <rPr>
        <sz val="11"/>
        <color rgb="FF374151"/>
        <rFont val="맑은 고딕"/>
        <family val="3"/>
        <charset val="129"/>
      </rPr>
      <t>/</t>
    </r>
    <r>
      <rPr>
        <sz val="11"/>
        <color rgb="FF374151"/>
        <rFont val="Noto Sans CJK SC"/>
        <family val="2"/>
      </rPr>
      <t>담당자 체크는 분리한다</t>
    </r>
    <r>
      <rPr>
        <sz val="11"/>
        <color rgb="FF374151"/>
        <rFont val="맑은 고딕"/>
        <family val="3"/>
        <charset val="129"/>
      </rPr>
      <t xml:space="preserve">. </t>
    </r>
    <r>
      <rPr>
        <sz val="11"/>
        <color rgb="FF374151"/>
        <rFont val="Noto Sans CJK SC"/>
        <family val="2"/>
      </rPr>
      <t>검출</t>
    </r>
    <r>
      <rPr>
        <sz val="11"/>
        <color rgb="FF374151"/>
        <rFont val="맑은 고딕"/>
        <family val="3"/>
        <charset val="129"/>
      </rPr>
      <t>/</t>
    </r>
    <r>
      <rPr>
        <sz val="11"/>
        <color rgb="FF374151"/>
        <rFont val="Noto Sans CJK SC"/>
        <family val="2"/>
      </rPr>
      <t>공시상 없음</t>
    </r>
    <r>
      <rPr>
        <sz val="11"/>
        <color rgb="FF374151"/>
        <rFont val="맑은 고딕"/>
        <family val="3"/>
        <charset val="129"/>
      </rPr>
      <t>/</t>
    </r>
    <r>
      <rPr>
        <sz val="11"/>
        <color rgb="FF374151"/>
        <rFont val="Noto Sans CJK SC"/>
        <family val="2"/>
      </rPr>
      <t>미검출</t>
    </r>
    <r>
      <rPr>
        <sz val="11"/>
        <color rgb="FF374151"/>
        <rFont val="맑은 고딕"/>
        <family val="3"/>
        <charset val="129"/>
      </rPr>
      <t>/</t>
    </r>
    <r>
      <rPr>
        <sz val="11"/>
        <color rgb="FF374151"/>
        <rFont val="Noto Sans CJK SC"/>
        <family val="2"/>
      </rPr>
      <t>추출 실패를 구분한다</t>
    </r>
    <r>
      <rPr>
        <sz val="11"/>
        <color rgb="FF374151"/>
        <rFont val="맑은 고딕"/>
        <family val="3"/>
        <charset val="129"/>
      </rPr>
      <t xml:space="preserve">. </t>
    </r>
    <r>
      <rPr>
        <sz val="11"/>
        <color rgb="FF374151"/>
        <rFont val="Noto Sans CJK SC"/>
        <family val="2"/>
      </rPr>
      <t xml:space="preserve">확장 </t>
    </r>
    <r>
      <rPr>
        <sz val="11"/>
        <color rgb="FF374151"/>
        <rFont val="맑은 고딕"/>
        <family val="3"/>
        <charset val="129"/>
      </rPr>
      <t>N-R31/N-F28~29</t>
    </r>
    <r>
      <rPr>
        <sz val="11"/>
        <color rgb="FF374151"/>
        <rFont val="Noto Sans CJK SC"/>
        <family val="2"/>
      </rPr>
      <t xml:space="preserve">는 </t>
    </r>
    <r>
      <rPr>
        <sz val="11"/>
        <color rgb="FF374151"/>
        <rFont val="맑은 고딕"/>
        <family val="3"/>
        <charset val="129"/>
      </rPr>
      <t>1.9/6.1</t>
    </r>
    <r>
      <rPr>
        <sz val="11"/>
        <color rgb="FF374151"/>
        <rFont val="Noto Sans CJK SC"/>
        <family val="2"/>
      </rPr>
      <t>의 범위 기록이며 개발 실행</t>
    </r>
    <r>
      <rPr>
        <sz val="11"/>
        <color rgb="FF374151"/>
        <rFont val="맑은 고딕"/>
        <family val="3"/>
        <charset val="129"/>
      </rPr>
      <t>/</t>
    </r>
    <r>
      <rPr>
        <sz val="11"/>
        <color rgb="FF374151"/>
        <rFont val="Noto Sans CJK SC"/>
        <family val="2"/>
      </rPr>
      <t>완료로 세지 않는다</t>
    </r>
    <r>
      <rPr>
        <sz val="11"/>
        <color rgb="FF374151"/>
        <rFont val="맑은 고딕"/>
        <family val="3"/>
        <charset val="129"/>
      </rPr>
      <t>.</t>
    </r>
  </si>
  <si>
    <t>표 사용</t>
  </si>
  <si>
    <r>
      <rPr>
        <sz val="11"/>
        <color rgb="FF374151"/>
        <rFont val="Noto Sans CJK SC"/>
        <family val="2"/>
      </rPr>
      <t>작업 관리에 실제 상태</t>
    </r>
    <r>
      <rPr>
        <sz val="11"/>
        <color rgb="FF374151"/>
        <rFont val="맑은 고딕"/>
        <family val="3"/>
        <charset val="129"/>
      </rPr>
      <t>·</t>
    </r>
    <r>
      <rPr>
        <sz val="11"/>
        <color rgb="FF374151"/>
        <rFont val="Noto Sans CJK SC"/>
        <family val="2"/>
      </rPr>
      <t>진행률을 입력하고 완료 기준에 근거를 남긴다</t>
    </r>
    <r>
      <rPr>
        <sz val="11"/>
        <color rgb="FF374151"/>
        <rFont val="맑은 고딕"/>
        <family val="3"/>
        <charset val="129"/>
      </rPr>
      <t xml:space="preserve">. </t>
    </r>
    <r>
      <rPr>
        <sz val="11"/>
        <color rgb="FF374151"/>
        <rFont val="Noto Sans CJK SC"/>
        <family val="2"/>
      </rPr>
      <t>완료 상태</t>
    </r>
    <r>
      <rPr>
        <sz val="11"/>
        <color rgb="FF374151"/>
        <rFont val="맑은 고딕"/>
        <family val="3"/>
        <charset val="129"/>
      </rPr>
      <t>+100%+</t>
    </r>
    <r>
      <rPr>
        <sz val="11"/>
        <color rgb="FF374151"/>
        <rFont val="Noto Sans CJK SC"/>
        <family val="2"/>
      </rPr>
      <t>근거가 모두 있어야 완료 확인으로 집계한다</t>
    </r>
    <r>
      <rPr>
        <sz val="11"/>
        <color rgb="FF374151"/>
        <rFont val="맑은 고딕"/>
        <family val="3"/>
        <charset val="129"/>
      </rPr>
      <t xml:space="preserve">. </t>
    </r>
    <r>
      <rPr>
        <sz val="11"/>
        <color rgb="FF374151"/>
        <rFont val="Noto Sans CJK SC"/>
        <family val="2"/>
      </rPr>
      <t xml:space="preserve">완료 기준 오른쪽에 </t>
    </r>
    <r>
      <rPr>
        <sz val="11"/>
        <color rgb="FF374151"/>
        <rFont val="맑은 고딕"/>
        <family val="3"/>
        <charset val="129"/>
      </rPr>
      <t>R(</t>
    </r>
    <r>
      <rPr>
        <sz val="11"/>
        <color rgb="FF374151"/>
        <rFont val="Noto Sans CJK SC"/>
        <family val="2"/>
      </rPr>
      <t>요구사항</t>
    </r>
    <r>
      <rPr>
        <sz val="11"/>
        <color rgb="FF374151"/>
        <rFont val="맑은 고딕"/>
        <family val="3"/>
        <charset val="129"/>
      </rPr>
      <t>)/F(</t>
    </r>
    <r>
      <rPr>
        <sz val="11"/>
        <color rgb="FF374151"/>
        <rFont val="Noto Sans CJK SC"/>
        <family val="2"/>
      </rPr>
      <t>기능</t>
    </r>
    <r>
      <rPr>
        <sz val="11"/>
        <color rgb="FF374151"/>
        <rFont val="맑은 고딕"/>
        <family val="3"/>
        <charset val="129"/>
      </rPr>
      <t>)/U(</t>
    </r>
    <r>
      <rPr>
        <sz val="11"/>
        <color rgb="FF374151"/>
        <rFont val="Noto Sans CJK SC"/>
        <family val="2"/>
      </rPr>
      <t>미정 질문</t>
    </r>
    <r>
      <rPr>
        <sz val="11"/>
        <color rgb="FF374151"/>
        <rFont val="맑은 고딕"/>
        <family val="3"/>
        <charset val="129"/>
      </rPr>
      <t xml:space="preserve">) </t>
    </r>
    <r>
      <rPr>
        <sz val="11"/>
        <color rgb="FF374151"/>
        <rFont val="Noto Sans CJK SC"/>
        <family val="2"/>
      </rPr>
      <t>연결을 둔다</t>
    </r>
    <r>
      <rPr>
        <sz val="11"/>
        <color rgb="FF374151"/>
        <rFont val="맑은 고딕"/>
        <family val="3"/>
        <charset val="129"/>
      </rPr>
      <t>.</t>
    </r>
  </si>
  <si>
    <t>원문 경로</t>
  </si>
  <si>
    <r>
      <rPr>
        <sz val="11"/>
        <color rgb="FF374151"/>
        <rFont val="맑은 고딕"/>
        <family val="3"/>
        <charset val="129"/>
      </rPr>
      <t>C:\Users\kdh80\Desktop\KB-Bridge\</t>
    </r>
    <r>
      <rPr>
        <sz val="11"/>
        <color rgb="FF374151"/>
        <rFont val="Noto Sans CJK SC"/>
        <family val="2"/>
      </rPr>
      <t xml:space="preserve">최종 </t>
    </r>
    <r>
      <rPr>
        <sz val="11"/>
        <color rgb="FF374151"/>
        <rFont val="맑은 고딕"/>
        <family val="3"/>
        <charset val="129"/>
      </rPr>
      <t>Project\Slack_</t>
    </r>
    <r>
      <rPr>
        <sz val="11"/>
        <color rgb="FF374151"/>
        <rFont val="Noto Sans CJK SC"/>
        <family val="2"/>
      </rPr>
      <t>첨부파일</t>
    </r>
    <r>
      <rPr>
        <sz val="11"/>
        <color rgb="FF374151"/>
        <rFont val="맑은 고딕"/>
        <family val="3"/>
        <charset val="129"/>
      </rPr>
      <t>_2026-10-24\LoanSight_AI_</t>
    </r>
    <r>
      <rPr>
        <sz val="11"/>
        <color rgb="FF374151"/>
        <rFont val="Noto Sans CJK SC"/>
        <family val="2"/>
      </rPr>
      <t>기획안</t>
    </r>
    <r>
      <rPr>
        <sz val="11"/>
        <color rgb="FF374151"/>
        <rFont val="맑은 고딕"/>
        <family val="3"/>
        <charset val="129"/>
      </rPr>
      <t>_v2.0.docx
C:\Users\kdh80\Desktop\KB-Bridge\</t>
    </r>
    <r>
      <rPr>
        <sz val="11"/>
        <color rgb="FF374151"/>
        <rFont val="Noto Sans CJK SC"/>
        <family val="2"/>
      </rPr>
      <t xml:space="preserve">최종 </t>
    </r>
    <r>
      <rPr>
        <sz val="11"/>
        <color rgb="FF374151"/>
        <rFont val="맑은 고딕"/>
        <family val="3"/>
        <charset val="129"/>
      </rPr>
      <t>Project\Slack_</t>
    </r>
    <r>
      <rPr>
        <sz val="11"/>
        <color rgb="FF374151"/>
        <rFont val="Noto Sans CJK SC"/>
        <family val="2"/>
      </rPr>
      <t>첨부파일</t>
    </r>
    <r>
      <rPr>
        <sz val="11"/>
        <color rgb="FF374151"/>
        <rFont val="맑은 고딕"/>
        <family val="3"/>
        <charset val="129"/>
      </rPr>
      <t>_2026-10-24\LoanSight AI_</t>
    </r>
    <r>
      <rPr>
        <sz val="11"/>
        <color rgb="FF374151"/>
        <rFont val="Noto Sans CJK SC"/>
        <family val="2"/>
      </rPr>
      <t>요구사항정의서</t>
    </r>
    <r>
      <rPr>
        <sz val="11"/>
        <color rgb="FF374151"/>
        <rFont val="맑은 고딕"/>
        <family val="3"/>
        <charset val="129"/>
      </rPr>
      <t>_v0.0.4_261023.xlsx
C:\Users\kdh80\Desktop\KB-Bridge\</t>
    </r>
    <r>
      <rPr>
        <sz val="11"/>
        <color rgb="FF374151"/>
        <rFont val="Noto Sans CJK SC"/>
        <family val="2"/>
      </rPr>
      <t xml:space="preserve">최종 </t>
    </r>
    <r>
      <rPr>
        <sz val="11"/>
        <color rgb="FF374151"/>
        <rFont val="맑은 고딕"/>
        <family val="3"/>
        <charset val="129"/>
      </rPr>
      <t>Project\docs\PRD\LoanSight AI_PRD_v0.0.4_261024_</t>
    </r>
    <r>
      <rPr>
        <sz val="11"/>
        <color rgb="FF374151"/>
        <rFont val="Noto Sans CJK SC"/>
        <family val="2"/>
      </rPr>
      <t>김동혁</t>
    </r>
    <r>
      <rPr>
        <sz val="11"/>
        <color rgb="FF374151"/>
        <rFont val="맑은 고딕"/>
        <family val="3"/>
        <charset val="129"/>
      </rPr>
      <t>.docx
C:\Users\kdh80\Desktop\KB-Bridge\</t>
    </r>
    <r>
      <rPr>
        <sz val="11"/>
        <color rgb="FF374151"/>
        <rFont val="Noto Sans CJK SC"/>
        <family val="2"/>
      </rPr>
      <t xml:space="preserve">최종 </t>
    </r>
    <r>
      <rPr>
        <sz val="11"/>
        <color rgb="FF374151"/>
        <rFont val="맑은 고딕"/>
        <family val="3"/>
        <charset val="129"/>
      </rPr>
      <t>Project\docs\functional-specification\LoanSight AI_</t>
    </r>
    <r>
      <rPr>
        <sz val="11"/>
        <color rgb="FF374151"/>
        <rFont val="Noto Sans CJK SC"/>
        <family val="2"/>
      </rPr>
      <t>기능명세서</t>
    </r>
    <r>
      <rPr>
        <sz val="11"/>
        <color rgb="FF374151"/>
        <rFont val="맑은 고딕"/>
        <family val="3"/>
        <charset val="129"/>
      </rPr>
      <t>_v0.0.4_261024.xlsx</t>
    </r>
  </si>
  <si>
    <t>원문 SHA256</t>
  </si>
  <si>
    <r>
      <rPr>
        <sz val="11"/>
        <color rgb="FF374151"/>
        <rFont val="Noto Sans CJK SC"/>
        <family val="2"/>
      </rPr>
      <t>기획안</t>
    </r>
    <r>
      <rPr>
        <sz val="11"/>
        <color rgb="FF374151"/>
        <rFont val="맑은 고딕"/>
        <family val="3"/>
        <charset val="129"/>
      </rPr>
      <t xml:space="preserve">: fd0717b81e562166248006c3789d0b6f76dd888fa085ca70ae771f3731ab2715
</t>
    </r>
    <r>
      <rPr>
        <sz val="11"/>
        <color rgb="FF374151"/>
        <rFont val="Noto Sans CJK SC"/>
        <family val="2"/>
      </rPr>
      <t>요구사항</t>
    </r>
    <r>
      <rPr>
        <sz val="11"/>
        <color rgb="FF374151"/>
        <rFont val="맑은 고딕"/>
        <family val="3"/>
        <charset val="129"/>
      </rPr>
      <t>: c788fdcccfd3d867a1f1812ed4bbe883d05b56afa52d91e650ea23f10582983c</t>
    </r>
  </si>
  <si>
    <t>상태·진행률은 실제 확인값만 입력합니다. 완료는 진행률 100%와 완료근거를 함께 기록합니다.</t>
  </si>
  <si>
    <t>기준: 기획안 v2.0·요구사항 v0.0.4。69개 작업。주담당·세부 날짜는 실행 초안, 미확인은 실제 진척 미확인。</t>
  </si>
  <si>
    <t>같은 날의 선행·후속 작업은 당일 인수인계를 전제로 합니다. 마감일만으로 완료 처리하지 않습니다.</t>
  </si>
  <si>
    <t>작업</t>
  </si>
  <si>
    <t>주담당</t>
  </si>
  <si>
    <t>진행률</t>
  </si>
  <si>
    <t>범위</t>
  </si>
  <si>
    <t>입력 확인</t>
  </si>
  <si>
    <t>1.1</t>
  </si>
  <si>
    <t>기획안 v1.0 확정본 정리</t>
  </si>
  <si>
    <t>완료</t>
  </si>
  <si>
    <t>1.2</t>
  </si>
  <si>
    <t>기획 발표자료 v0.2 초안 보존</t>
  </si>
  <si>
    <t>오준탁</t>
  </si>
  <si>
    <t>1.3</t>
  </si>
  <si>
    <t>범위와 역할 분담 합의</t>
  </si>
  <si>
    <t>1.4</t>
  </si>
  <si>
    <t>확정 4개 업종과 수집 범위 점검</t>
  </si>
  <si>
    <t>김동민</t>
  </si>
  <si>
    <t>진행중</t>
  </si>
  <si>
    <t>1.6</t>
  </si>
  <si>
    <t>재무비율·계정·업종 계산 기준 정의</t>
  </si>
  <si>
    <t>1.7</t>
  </si>
  <si>
    <t>상환·연체 위험 사건과 12개월 라벨 정의</t>
  </si>
  <si>
    <t>1.8</t>
  </si>
  <si>
    <t>기획 발표자료에 최신 범위 반영</t>
  </si>
  <si>
    <t>1.5</t>
  </si>
  <si>
    <t>기능 검증·원문 정답지 표본 선정</t>
  </si>
  <si>
    <t>최수인</t>
  </si>
  <si>
    <t>업종·데이터·모델 설계 기준 확정</t>
  </si>
  <si>
    <t>1.9</t>
  </si>
  <si>
    <t>v2.0·v0.0.4 변경 및 미정 의사결정 정리</t>
  </si>
  <si>
    <t>1.10</t>
  </si>
  <si>
    <t>6개 판단 축·업종 지표·단계 가설 검토</t>
  </si>
  <si>
    <t>2.7</t>
  </si>
  <si>
    <t>위험 사건 이력 수집과 원문 대조</t>
  </si>
  <si>
    <t>2.1</t>
  </si>
  <si>
    <t>재무·공시 수집과 출처 저장</t>
  </si>
  <si>
    <t>2.2</t>
  </si>
  <si>
    <t>계정 매핑과 비교 기준 정렬</t>
  </si>
  <si>
    <t>2.8</t>
  </si>
  <si>
    <t>과거 재무·주석 학습자료 수집</t>
  </si>
  <si>
    <t>2.5</t>
  </si>
  <si>
    <t>원문 대조 정답지 작성</t>
  </si>
  <si>
    <t>2.3</t>
  </si>
  <si>
    <t>주석 구간·교차참조·추출 표본 확보</t>
  </si>
  <si>
    <t>2.9</t>
  </si>
  <si>
    <t>12개월 라벨과 관측기간 구성</t>
  </si>
  <si>
    <t>2.10</t>
  </si>
  <si>
    <t>업종별 필수 계정 확보율 점검</t>
  </si>
  <si>
    <t>2.11</t>
  </si>
  <si>
    <t>주석 원문 구간·추출 검출 상태 저장</t>
  </si>
  <si>
    <t>2.4</t>
  </si>
  <si>
    <t>데이터 정합성과 결측 점검</t>
  </si>
  <si>
    <t>2.6</t>
  </si>
  <si>
    <t>업종 비교 표본 확보와 정리</t>
  </si>
  <si>
    <t>3.2</t>
  </si>
  <si>
    <t>기업 검색과 업종 표시·필터</t>
  </si>
  <si>
    <t>서종원</t>
  </si>
  <si>
    <t>3.1</t>
  </si>
  <si>
    <t>변동 기여도와 재무비율 계산</t>
  </si>
  <si>
    <t>3.12</t>
  </si>
  <si>
    <t>겸업 판정·업종 변경 근거 기록</t>
  </si>
  <si>
    <t>3.3</t>
  </si>
  <si>
    <t>핵심 재무 대시보드와 차트</t>
  </si>
  <si>
    <t>3.8</t>
  </si>
  <si>
    <t>차입 상환능력·영업순환 지표 계산</t>
  </si>
  <si>
    <t>3.4</t>
  </si>
  <si>
    <t>확인 체크와 재무 검토 기록 초안</t>
  </si>
  <si>
    <t>3.6</t>
  </si>
  <si>
    <t>업종별 확인 기준 검토</t>
  </si>
  <si>
    <t>3.9</t>
  </si>
  <si>
    <t>업종 위험 지표·징후 단계 판정 연결</t>
  </si>
  <si>
    <t>3.11</t>
  </si>
  <si>
    <t>직접 입력·출처·재계산 경로 검증</t>
  </si>
  <si>
    <t>3.10</t>
  </si>
  <si>
    <t>기존 주석 화면에 업종 위험 패널·차트 연결</t>
  </si>
  <si>
    <t>3.5</t>
  </si>
  <si>
    <t>현금흐름 괴리와 업종 비교 분석</t>
  </si>
  <si>
    <t>3.7</t>
  </si>
  <si>
    <t>핵심 분석과 확인 항목 통합</t>
  </si>
  <si>
    <t>핵심 재무 기능 통합 완료 판단</t>
  </si>
  <si>
    <t>4.1</t>
  </si>
  <si>
    <t>주석 요약 형식과 확인 안내 정의</t>
  </si>
  <si>
    <t>4.2</t>
  </si>
  <si>
    <t>주석 위험 항목 추출과 AI 요약</t>
  </si>
  <si>
    <t>4.8</t>
  </si>
  <si>
    <t>공통 주석 6범주 추출 규칙 구현</t>
  </si>
  <si>
    <t>4.3</t>
  </si>
  <si>
    <t>뉴스 수집 방식과 후보 기사 확보</t>
  </si>
  <si>
    <t>4.5</t>
  </si>
  <si>
    <t>AI 요약 원문 대조 검증</t>
  </si>
  <si>
    <t>4.9</t>
  </si>
  <si>
    <t>4개 업종별 주석 추가 추출 규칙 구현</t>
  </si>
  <si>
    <t>4.4</t>
  </si>
  <si>
    <t>뉴스 관련성과 누락 정답지</t>
  </si>
  <si>
    <t>4.6</t>
  </si>
  <si>
    <t>주석 요약과 원문 근거 화면 연결</t>
  </si>
  <si>
    <t>4.10</t>
  </si>
  <si>
    <t>업종별 추출 정밀도·재현율·미검출 원인 검수</t>
  </si>
  <si>
    <t>4.7</t>
  </si>
  <si>
    <t>관련 뉴스 요약과 원문 링크 보완</t>
  </si>
  <si>
    <t>주석 요약 검증과 제공 형식 확정</t>
  </si>
  <si>
    <t>7.1</t>
  </si>
  <si>
    <t>재무지표 기준 모델 학습</t>
  </si>
  <si>
    <t>7.3</t>
  </si>
  <si>
    <t>주석 위험 항목의 수치 변수화</t>
  </si>
  <si>
    <t>7.4</t>
  </si>
  <si>
    <t>재무·주석 결합 위험 사건 모델 학습</t>
  </si>
  <si>
    <t>7.5</t>
  </si>
  <si>
    <t>모델 비교와 예측 확률 보정</t>
  </si>
  <si>
    <t>7.6</t>
  </si>
  <si>
    <t>위험 사건 예측 확률·근거·보류 화면</t>
  </si>
  <si>
    <t>7.7</t>
  </si>
  <si>
    <t>예측 결과를 검토 기록에 연결</t>
  </si>
  <si>
    <t>7.2</t>
  </si>
  <si>
    <t>모델 성능·정보 누출·해석 검증</t>
  </si>
  <si>
    <t>위험 사건 모델·연동 검증 기준 고정</t>
  </si>
  <si>
    <t>5.1</t>
  </si>
  <si>
    <t>접근 제어·인증키·배포 점검</t>
  </si>
  <si>
    <t>5.2</t>
  </si>
  <si>
    <t>선정 기업별 기능·모델 통합 검증</t>
  </si>
  <si>
    <t>5.4</t>
  </si>
  <si>
    <t>현직자 피드백 수렴</t>
  </si>
  <si>
    <t>5.7</t>
  </si>
  <si>
    <t>규칙 단계·패널·검출 상태 통합 검수</t>
  </si>
  <si>
    <t>5.3</t>
  </si>
  <si>
    <t>수강생 비교 실험</t>
  </si>
  <si>
    <t>5.5</t>
  </si>
  <si>
    <t>오류 수정과 재검증</t>
  </si>
  <si>
    <t>5.6</t>
  </si>
  <si>
    <t>검증 보고서와 최종 범위 고정</t>
  </si>
  <si>
    <t>핵심 구현과 검증 마감</t>
  </si>
  <si>
    <t>6.1</t>
  </si>
  <si>
    <t>실행 안내와 데이터 문서 정리</t>
  </si>
  <si>
    <t>6.2</t>
  </si>
  <si>
    <t>발표자료와 스토리 최종 반영</t>
  </si>
  <si>
    <t>6.3</t>
  </si>
  <si>
    <t>시연 영상과 예비 시연 준비</t>
  </si>
  <si>
    <t>6.4</t>
  </si>
  <si>
    <t>제출 파일과 재현성 점검</t>
  </si>
  <si>
    <t>6.5</t>
  </si>
  <si>
    <t>발표 리허설과 질의응답 준비</t>
  </si>
  <si>
    <t>최종 산출물 제출</t>
  </si>
  <si>
    <t>프로젝트 발표</t>
  </si>
  <si>
    <t>2026년 10월 21일~11월 5일 계획. 셀 색은 작업 관리의 시작·마감일을 따라 바뀝니다.</t>
  </si>
  <si>
    <t>파랑은 작업 기간, 초록은 완료 작업, 보라는 마일스톤입니다. 옅은 회색 열은 주말입니다.</t>
  </si>
  <si>
    <t>달력일 기준 계획입니다. 교육 일정과 팀 가용 시간을 확인한 뒤 세부 날짜를 확정합니다.</t>
  </si>
  <si>
    <t>10월</t>
  </si>
  <si>
    <t>11월</t>
  </si>
  <si>
    <t>작업별 산출물·완료 조건·근거와 관련 요구(R)·기능(F)·미정 질문(U)을 ID로 연결합니다.</t>
  </si>
  <si>
    <t>기준 문서: C:/Users/kdh80/Desktop/KB-Bridge/최종 Project/03 실적변동원인분석서비스/기획안_재무나침반_v1.0.docx</t>
  </si>
  <si>
    <t>주담당은 작업 관리에서 확인합니다. 기존 노션의 팀 메모는 보존하며 Markdown 상세에도 포함합니다.</t>
  </si>
  <si>
    <t>협업</t>
  </si>
  <si>
    <t>완료 기준</t>
  </si>
  <si>
    <t>완료근거</t>
  </si>
  <si>
    <t>관련 요구사항</t>
  </si>
  <si>
    <t>관련 기능</t>
  </si>
  <si>
    <t>미정 질문</t>
  </si>
  <si>
    <t>없음</t>
  </si>
  <si>
    <r>
      <rPr>
        <sz val="11"/>
        <color rgb="FF1F2937"/>
        <rFont val="맑은 고딕"/>
        <family val="3"/>
        <charset val="129"/>
      </rPr>
      <t xml:space="preserve">LoanSight AI </t>
    </r>
    <r>
      <rPr>
        <sz val="11"/>
        <color rgb="FF1F2937"/>
        <rFont val="Noto Sans CJK SC"/>
        <family val="2"/>
      </rPr>
      <t xml:space="preserve">기획안 </t>
    </r>
    <r>
      <rPr>
        <sz val="11"/>
        <color rgb="FF1F2937"/>
        <rFont val="맑은 고딕"/>
        <family val="3"/>
        <charset val="129"/>
      </rPr>
      <t>v1.0</t>
    </r>
  </si>
  <si>
    <r>
      <rPr>
        <sz val="11"/>
        <color rgb="FF1F2937"/>
        <rFont val="Noto Sans CJK SC"/>
        <family val="2"/>
      </rPr>
      <t>재무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주석 결합 부도 예측</t>
    </r>
    <r>
      <rPr>
        <sz val="11"/>
        <color rgb="FF1F2937"/>
        <rFont val="맑은 고딕"/>
        <family val="3"/>
        <charset val="129"/>
      </rPr>
      <t xml:space="preserve">, </t>
    </r>
    <r>
      <rPr>
        <sz val="11"/>
        <color rgb="FF1F2937"/>
        <rFont val="Noto Sans CJK SC"/>
        <family val="2"/>
      </rPr>
      <t>역할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일정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필수 기능을 반영한 </t>
    </r>
    <r>
      <rPr>
        <sz val="11"/>
        <color rgb="FF1F2937"/>
        <rFont val="맑은 고딕"/>
        <family val="3"/>
        <charset val="129"/>
      </rPr>
      <t xml:space="preserve">v1.0 </t>
    </r>
    <r>
      <rPr>
        <sz val="11"/>
        <color rgb="FF1F2937"/>
        <rFont val="Noto Sans CJK SC"/>
        <family val="2"/>
      </rPr>
      <t xml:space="preserve">문서 확인。기존 </t>
    </r>
    <r>
      <rPr>
        <sz val="11"/>
        <color rgb="FF1F2937"/>
        <rFont val="맑은 고딕"/>
        <family val="3"/>
        <charset val="129"/>
      </rPr>
      <t xml:space="preserve">v1.0 </t>
    </r>
    <r>
      <rPr>
        <sz val="11"/>
        <color rgb="FF1F2937"/>
        <rFont val="Noto Sans CJK SC"/>
        <family val="2"/>
      </rPr>
      <t xml:space="preserve">완료 기록이며 이번 </t>
    </r>
    <r>
      <rPr>
        <sz val="11"/>
        <color rgb="FF1F2937"/>
        <rFont val="맑은 고딕"/>
        <family val="3"/>
        <charset val="129"/>
      </rPr>
      <t xml:space="preserve">v2.0 </t>
    </r>
    <r>
      <rPr>
        <sz val="11"/>
        <color rgb="FF1F2937"/>
        <rFont val="Noto Sans CJK SC"/>
        <family val="2"/>
      </rPr>
      <t>반영 완료를 뜻하지 않는다</t>
    </r>
    <r>
      <rPr>
        <sz val="11"/>
        <color rgb="FF1F2937"/>
        <rFont val="맑은 고딕"/>
        <family val="3"/>
        <charset val="129"/>
      </rPr>
      <t>.</t>
    </r>
  </si>
  <si>
    <r>
      <rPr>
        <sz val="11"/>
        <color rgb="FF1F2937"/>
        <rFont val="Noto Sans CJK SC"/>
        <family val="2"/>
      </rPr>
      <t>기획안</t>
    </r>
    <r>
      <rPr>
        <sz val="11"/>
        <color rgb="FF1F2937"/>
        <rFont val="맑은 고딕"/>
        <family val="3"/>
        <charset val="129"/>
      </rPr>
      <t>_LoanSight AI_v1.0.docx</t>
    </r>
  </si>
  <si>
    <r>
      <rPr>
        <sz val="11"/>
        <color rgb="FF1F2937"/>
        <rFont val="맑은 고딕"/>
        <family val="3"/>
        <charset val="129"/>
      </rPr>
      <t>11</t>
    </r>
    <r>
      <rPr>
        <sz val="11"/>
        <color rgb="FF1F2937"/>
        <rFont val="Noto Sans CJK SC"/>
        <family val="2"/>
      </rPr>
      <t>장 기획 발표자료</t>
    </r>
  </si>
  <si>
    <r>
      <rPr>
        <sz val="11"/>
        <color rgb="FF1F2937"/>
        <rFont val="Noto Sans CJK SC"/>
        <family val="2"/>
      </rPr>
      <t xml:space="preserve">기존 </t>
    </r>
    <r>
      <rPr>
        <sz val="11"/>
        <color rgb="FF1F2937"/>
        <rFont val="맑은 고딕"/>
        <family val="3"/>
        <charset val="129"/>
      </rPr>
      <t>11</t>
    </r>
    <r>
      <rPr>
        <sz val="11"/>
        <color rgb="FF1F2937"/>
        <rFont val="Noto Sans CJK SC"/>
        <family val="2"/>
      </rPr>
      <t>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발표자 노트 초안 확인</t>
    </r>
    <r>
      <rPr>
        <sz val="11"/>
        <color rgb="FF1F2937"/>
        <rFont val="맑은 고딕"/>
        <family val="3"/>
        <charset val="129"/>
      </rPr>
      <t xml:space="preserve">. v1.0 </t>
    </r>
    <r>
      <rPr>
        <sz val="11"/>
        <color rgb="FF1F2937"/>
        <rFont val="Noto Sans CJK SC"/>
        <family val="2"/>
      </rPr>
      <t xml:space="preserve">반영은 </t>
    </r>
    <r>
      <rPr>
        <sz val="11"/>
        <color rgb="FF1F2937"/>
        <rFont val="맑은 고딕"/>
        <family val="3"/>
        <charset val="129"/>
      </rPr>
      <t>1.8</t>
    </r>
    <r>
      <rPr>
        <sz val="11"/>
        <color rgb="FF1F2937"/>
        <rFont val="Noto Sans CJK SC"/>
        <family val="2"/>
      </rPr>
      <t>에서 별도 수행。기존 초안 보존 완료이며 최신 발표자료는 별도 검토한다</t>
    </r>
    <r>
      <rPr>
        <sz val="11"/>
        <color rgb="FF1F2937"/>
        <rFont val="맑은 고딕"/>
        <family val="3"/>
        <charset val="129"/>
      </rPr>
      <t>.</t>
    </r>
  </si>
  <si>
    <r>
      <rPr>
        <sz val="11"/>
        <color rgb="FF1F2937"/>
        <rFont val="맑은 고딕"/>
        <family val="3"/>
        <charset val="129"/>
      </rPr>
      <t>KB-Bridge_LoanSight AI_</t>
    </r>
    <r>
      <rPr>
        <sz val="11"/>
        <color rgb="FF1F2937"/>
        <rFont val="Noto Sans CJK SC"/>
        <family val="2"/>
      </rPr>
      <t>기획발표</t>
    </r>
    <r>
      <rPr>
        <sz val="11"/>
        <color rgb="FF1F2937"/>
        <rFont val="맑은 고딕"/>
        <family val="3"/>
        <charset val="129"/>
      </rPr>
      <t>_v0.2.0.pptx</t>
    </r>
  </si>
  <si>
    <t>전원</t>
  </si>
  <si>
    <r>
      <rPr>
        <sz val="11"/>
        <color rgb="FF1F2937"/>
        <rFont val="Noto Sans CJK SC"/>
        <family val="2"/>
      </rPr>
      <t>범위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담당 확정 기록</t>
    </r>
  </si>
  <si>
    <r>
      <rPr>
        <sz val="11"/>
        <color rgb="FF1F2937"/>
        <rFont val="맑은 고딕"/>
        <family val="3"/>
        <charset val="129"/>
      </rPr>
      <t>4</t>
    </r>
    <r>
      <rPr>
        <sz val="11"/>
        <color rgb="FF1F2937"/>
        <rFont val="Noto Sans CJK SC"/>
        <family val="2"/>
      </rPr>
      <t>개 업종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상환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연체 위험 사건 예측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주석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 xml:space="preserve">위험 패널 필수 범위와 </t>
    </r>
    <r>
      <rPr>
        <sz val="11"/>
        <color rgb="FF1F2937"/>
        <rFont val="맑은 고딕"/>
        <family val="3"/>
        <charset val="129"/>
      </rPr>
      <t>5</t>
    </r>
    <r>
      <rPr>
        <sz val="11"/>
        <color rgb="FF1F2937"/>
        <rFont val="Noto Sans CJK SC"/>
        <family val="2"/>
      </rPr>
      <t>명 역할을 확인한다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세부 배정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공수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백업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날짜의 최종 팀 합의를 기록한다</t>
    </r>
    <r>
      <rPr>
        <sz val="11"/>
        <color rgb="FF1F2937"/>
        <rFont val="맑은 고딕"/>
        <family val="3"/>
        <charset val="129"/>
      </rPr>
      <t>.</t>
    </r>
  </si>
  <si>
    <r>
      <rPr>
        <sz val="11"/>
        <color rgb="FF1F2937"/>
        <rFont val="맑은 고딕"/>
        <family val="3"/>
        <charset val="129"/>
      </rPr>
      <t>KB-Bridge_</t>
    </r>
    <r>
      <rPr>
        <sz val="11"/>
        <color rgb="FF1F2937"/>
        <rFont val="Noto Sans CJK SC"/>
        <family val="2"/>
      </rPr>
      <t>재무나침반</t>
    </r>
    <r>
      <rPr>
        <sz val="11"/>
        <color rgb="FF1F2937"/>
        <rFont val="맑은 고딕"/>
        <family val="3"/>
        <charset val="129"/>
      </rPr>
      <t>_</t>
    </r>
    <r>
      <rPr>
        <sz val="11"/>
        <color rgb="FF1F2937"/>
        <rFont val="Noto Sans CJK SC"/>
        <family val="2"/>
      </rPr>
      <t>기획발표</t>
    </r>
    <r>
      <rPr>
        <sz val="11"/>
        <color rgb="FF1F2937"/>
        <rFont val="맑은 고딕"/>
        <family val="3"/>
        <charset val="129"/>
      </rPr>
      <t>_v0.2.0.pptx</t>
    </r>
  </si>
  <si>
    <t>N-R01
N-R16
N-R30</t>
  </si>
  <si>
    <t>N-U08
N-U09</t>
  </si>
  <si>
    <r>
      <rPr>
        <sz val="11"/>
        <color rgb="FF1F2937"/>
        <rFont val="Noto Sans CJK SC"/>
        <family val="2"/>
      </rPr>
      <t>업종 매핑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대상 제외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수집 범위표</t>
    </r>
  </si>
  <si>
    <r>
      <rPr>
        <sz val="11"/>
        <color rgb="FF1F2937"/>
        <rFont val="Noto Sans CJK SC"/>
        <family val="2"/>
      </rPr>
      <t>제조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건설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도소매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부동산 임대 </t>
    </r>
    <r>
      <rPr>
        <sz val="11"/>
        <color rgb="FF1F2937"/>
        <rFont val="맑은 고딕"/>
        <family val="3"/>
        <charset val="129"/>
      </rPr>
      <t>4</t>
    </r>
    <r>
      <rPr>
        <sz val="11"/>
        <color rgb="FF1F2937"/>
        <rFont val="Noto Sans CJK SC"/>
        <family val="2"/>
      </rPr>
      <t xml:space="preserve">개를 </t>
    </r>
    <r>
      <rPr>
        <sz val="11"/>
        <color rgb="FF1F2937"/>
        <rFont val="맑은 고딕"/>
        <family val="3"/>
        <charset val="129"/>
      </rPr>
      <t xml:space="preserve">DART </t>
    </r>
    <r>
      <rPr>
        <sz val="11"/>
        <color rgb="FF1F2937"/>
        <rFont val="Noto Sans CJK SC"/>
        <family val="2"/>
      </rPr>
      <t>코드로 매핑하고 금융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보험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지주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스팩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운수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창고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장비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물품 렌탈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부동산 관리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중개를 제외한다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세부분류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겸업 기준과 기간은 미정으로 표시한다</t>
    </r>
    <r>
      <rPr>
        <sz val="11"/>
        <color rgb="FF1F2937"/>
        <rFont val="맑은 고딕"/>
        <family val="3"/>
        <charset val="129"/>
      </rPr>
      <t>.</t>
    </r>
  </si>
  <si>
    <t>N-R01
N-R32</t>
  </si>
  <si>
    <t>N-F01
N-F30</t>
  </si>
  <si>
    <t>N-U02
N-U15</t>
  </si>
  <si>
    <r>
      <rPr>
        <sz val="11"/>
        <color rgb="FF1F2937"/>
        <rFont val="Noto Sans CJK SC"/>
        <family val="2"/>
      </rPr>
      <t>비율 산식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계정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예외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근거 사전</t>
    </r>
  </si>
  <si>
    <r>
      <rPr>
        <sz val="11"/>
        <color rgb="FF1F2937"/>
        <rFont val="Noto Sans CJK SC"/>
        <family val="2"/>
      </rPr>
      <t>차입금</t>
    </r>
    <r>
      <rPr>
        <sz val="11"/>
        <color rgb="FF1F2937"/>
        <rFont val="맑은 고딕"/>
        <family val="3"/>
        <charset val="129"/>
      </rPr>
      <t>·EBITDA·</t>
    </r>
    <r>
      <rPr>
        <sz val="11"/>
        <color rgb="FF1F2937"/>
        <rFont val="Noto Sans CJK SC"/>
        <family val="2"/>
      </rPr>
      <t>이자비용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현금흐름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회전율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회전일수의 산식과 출처를 정리한다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평균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기말 잔액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금융원가 근사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임대보증금 포함 여부는 미정으로 남기고 </t>
    </r>
    <r>
      <rPr>
        <sz val="11"/>
        <color rgb="FF1F2937"/>
        <rFont val="맑은 고딕"/>
        <family val="3"/>
        <charset val="129"/>
      </rPr>
      <t>0/</t>
    </r>
    <r>
      <rPr>
        <sz val="11"/>
        <color rgb="FF1F2937"/>
        <rFont val="Noto Sans CJK SC"/>
        <family val="2"/>
      </rPr>
      <t>음수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결측 처리 기준을 구분한다</t>
    </r>
    <r>
      <rPr>
        <sz val="11"/>
        <color rgb="FF1F2937"/>
        <rFont val="맑은 고딕"/>
        <family val="3"/>
        <charset val="129"/>
      </rPr>
      <t>.</t>
    </r>
  </si>
  <si>
    <r>
      <rPr>
        <sz val="11"/>
        <color rgb="FF1F2937"/>
        <rFont val="Noto Sans CJK SC"/>
        <family val="2"/>
      </rPr>
      <t>업종별</t>
    </r>
    <r>
      <rPr>
        <sz val="11"/>
        <color rgb="FF1F2937"/>
        <rFont val="맑은 고딕"/>
        <family val="3"/>
        <charset val="129"/>
      </rPr>
      <t>_</t>
    </r>
    <r>
      <rPr>
        <sz val="11"/>
        <color rgb="FF1F2937"/>
        <rFont val="Noto Sans CJK SC"/>
        <family val="2"/>
      </rPr>
      <t>핵심재무지표</t>
    </r>
    <r>
      <rPr>
        <sz val="11"/>
        <color rgb="FF1F2937"/>
        <rFont val="맑은 고딕"/>
        <family val="3"/>
        <charset val="129"/>
      </rPr>
      <t>_</t>
    </r>
    <r>
      <rPr>
        <sz val="11"/>
        <color rgb="FF1F2937"/>
        <rFont val="Noto Sans CJK SC"/>
        <family val="2"/>
      </rPr>
      <t>상환연체위험징후지표</t>
    </r>
    <r>
      <rPr>
        <sz val="11"/>
        <color rgb="FF1F2937"/>
        <rFont val="맑은 고딕"/>
        <family val="3"/>
        <charset val="129"/>
      </rPr>
      <t>.docx</t>
    </r>
  </si>
  <si>
    <t>N-R05
N-R07
N-R09
N-R33
N-R34
N-R35</t>
  </si>
  <si>
    <t>N-F31
N-F32
N-F33</t>
  </si>
  <si>
    <t>N-U11
N-U13
N-U14</t>
  </si>
  <si>
    <r>
      <rPr>
        <sz val="11"/>
        <color rgb="FF1F2937"/>
        <rFont val="Noto Sans CJK SC"/>
        <family val="2"/>
      </rPr>
      <t>복합 위험 사건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기준일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추적 기간 명세</t>
    </r>
  </si>
  <si>
    <r>
      <rPr>
        <sz val="11"/>
        <color rgb="FF1F2937"/>
        <rFont val="Noto Sans CJK SC"/>
        <family val="2"/>
      </rPr>
      <t>원리금 실제 연체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기한이익상실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지급거절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회생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채권은행 관리절차 신청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감사의견 변형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계속기업 불확실성을 유형별 기록한다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상환과 무관한 관리종목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상장폐지는 제외한다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유형별 심각도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사건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특징 역할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시점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비발생 판정은 원문 근거와 함께 합의한다</t>
    </r>
    <r>
      <rPr>
        <sz val="11"/>
        <color rgb="FF1F2937"/>
        <rFont val="맑은 고딕"/>
        <family val="3"/>
        <charset val="129"/>
      </rPr>
      <t>.</t>
    </r>
  </si>
  <si>
    <t>N-R16
N-R17
N-R18
N-R20</t>
  </si>
  <si>
    <t>N-F13
N-F14
N-F16</t>
  </si>
  <si>
    <t>N-U01
N-U03</t>
  </si>
  <si>
    <r>
      <rPr>
        <sz val="11"/>
        <color rgb="FF1F2937"/>
        <rFont val="Noto Sans CJK SC"/>
        <family val="2"/>
      </rPr>
      <t xml:space="preserve">기획안 </t>
    </r>
    <r>
      <rPr>
        <sz val="11"/>
        <color rgb="FF1F2937"/>
        <rFont val="맑은 고딕"/>
        <family val="3"/>
        <charset val="129"/>
      </rPr>
      <t xml:space="preserve">v2.0 </t>
    </r>
    <r>
      <rPr>
        <sz val="11"/>
        <color rgb="FF1F2937"/>
        <rFont val="Noto Sans CJK SC"/>
        <family val="2"/>
      </rPr>
      <t>기준 발표 개정 초안</t>
    </r>
  </si>
  <si>
    <r>
      <rPr>
        <sz val="11"/>
        <color rgb="FF1F2937"/>
        <rFont val="Noto Sans CJK SC"/>
        <family val="2"/>
      </rPr>
      <t>상환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연체 위험 사건 목표</t>
    </r>
    <r>
      <rPr>
        <sz val="11"/>
        <color rgb="FF1F2937"/>
        <rFont val="맑은 고딕"/>
        <family val="3"/>
        <charset val="129"/>
      </rPr>
      <t>·4</t>
    </r>
    <r>
      <rPr>
        <sz val="11"/>
        <color rgb="FF1F2937"/>
        <rFont val="Noto Sans CJK SC"/>
        <family val="2"/>
      </rPr>
      <t>개 업종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렌탈 제외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주석 추출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위험 패널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논의 중인 </t>
    </r>
    <r>
      <rPr>
        <sz val="11"/>
        <color rgb="FF1F2937"/>
        <rFont val="맑은 고딕"/>
        <family val="3"/>
        <charset val="129"/>
      </rPr>
      <t xml:space="preserve">15/5 </t>
    </r>
    <r>
      <rPr>
        <sz val="11"/>
        <color rgb="FF1F2937"/>
        <rFont val="Noto Sans CJK SC"/>
        <family val="2"/>
      </rPr>
      <t>표본을 반영한다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 xml:space="preserve">기존 </t>
    </r>
    <r>
      <rPr>
        <sz val="11"/>
        <color rgb="FF1F2937"/>
        <rFont val="맑은 고딕"/>
        <family val="3"/>
        <charset val="129"/>
      </rPr>
      <t xml:space="preserve">1.2 </t>
    </r>
    <r>
      <rPr>
        <sz val="11"/>
        <color rgb="FF1F2937"/>
        <rFont val="Noto Sans CJK SC"/>
        <family val="2"/>
      </rPr>
      <t xml:space="preserve">완료 기록과 구분하며 최종 발표는 </t>
    </r>
    <r>
      <rPr>
        <sz val="11"/>
        <color rgb="FF1F2937"/>
        <rFont val="맑은 고딕"/>
        <family val="3"/>
        <charset val="129"/>
      </rPr>
      <t>6.2</t>
    </r>
    <r>
      <rPr>
        <sz val="11"/>
        <color rgb="FF1F2937"/>
        <rFont val="Noto Sans CJK SC"/>
        <family val="2"/>
      </rPr>
      <t>에서 정리한다</t>
    </r>
    <r>
      <rPr>
        <sz val="11"/>
        <color rgb="FF1F2937"/>
        <rFont val="맑은 고딕"/>
        <family val="3"/>
        <charset val="129"/>
      </rPr>
      <t>.</t>
    </r>
  </si>
  <si>
    <t>N-R01
N-R16
N-R38
N-R39
N-R40
N-R41
N-R42
N-R43</t>
  </si>
  <si>
    <t>N-U02
N-U09</t>
  </si>
  <si>
    <r>
      <rPr>
        <sz val="11"/>
        <color rgb="FF1F2937"/>
        <rFont val="Noto Sans CJK SC"/>
        <family val="2"/>
      </rPr>
      <t>기능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정답지 표본 선정안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확정 기록</t>
    </r>
  </si>
  <si>
    <r>
      <rPr>
        <sz val="11"/>
        <color rgb="FF1F2937"/>
        <rFont val="Noto Sans CJK SC"/>
        <family val="2"/>
      </rPr>
      <t xml:space="preserve">기능 검증 </t>
    </r>
    <r>
      <rPr>
        <sz val="11"/>
        <color rgb="FF1F2937"/>
        <rFont val="맑은 고딕"/>
        <family val="3"/>
        <charset val="129"/>
      </rPr>
      <t>15</t>
    </r>
    <r>
      <rPr>
        <sz val="11"/>
        <color rgb="FF1F2937"/>
        <rFont val="Noto Sans CJK SC"/>
        <family val="2"/>
      </rPr>
      <t>곳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정답지 </t>
    </r>
    <r>
      <rPr>
        <sz val="11"/>
        <color rgb="FF1F2937"/>
        <rFont val="맑은 고딕"/>
        <family val="3"/>
        <charset val="129"/>
      </rPr>
      <t>5</t>
    </r>
    <r>
      <rPr>
        <sz val="11"/>
        <color rgb="FF1F2937"/>
        <rFont val="Noto Sans CJK SC"/>
        <family val="2"/>
      </rPr>
      <t>곳은 논의 필요 값으로 두고 실제 기업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규모를 합의한다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 xml:space="preserve">기획안 인용 추출 표본 </t>
    </r>
    <r>
      <rPr>
        <sz val="11"/>
        <color rgb="FF1F2937"/>
        <rFont val="맑은 고딕"/>
        <family val="3"/>
        <charset val="129"/>
      </rPr>
      <t>40</t>
    </r>
    <r>
      <rPr>
        <sz val="11"/>
        <color rgb="FF1F2937"/>
        <rFont val="Noto Sans CJK SC"/>
        <family val="2"/>
      </rPr>
      <t>개사</t>
    </r>
    <r>
      <rPr>
        <sz val="11"/>
        <color rgb="FF1F2937"/>
        <rFont val="맑은 고딕"/>
        <family val="3"/>
        <charset val="129"/>
      </rPr>
      <t xml:space="preserve">, </t>
    </r>
    <r>
      <rPr>
        <sz val="11"/>
        <color rgb="FF1F2937"/>
        <rFont val="Noto Sans CJK SC"/>
        <family val="2"/>
      </rPr>
      <t>계정 확보 표본</t>
    </r>
    <r>
      <rPr>
        <sz val="11"/>
        <color rgb="FF1F2937"/>
        <rFont val="맑은 고딕"/>
        <family val="3"/>
        <charset val="129"/>
      </rPr>
      <t xml:space="preserve">, </t>
    </r>
    <r>
      <rPr>
        <sz val="11"/>
        <color rgb="FF1F2937"/>
        <rFont val="Noto Sans CJK SC"/>
        <family val="2"/>
      </rPr>
      <t>모델 학습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평가 표본과 구분한다</t>
    </r>
    <r>
      <rPr>
        <sz val="11"/>
        <color rgb="FF1F2937"/>
        <rFont val="맑은 고딕"/>
        <family val="3"/>
        <charset val="129"/>
      </rPr>
      <t>.</t>
    </r>
  </si>
  <si>
    <r>
      <rPr>
        <sz val="11"/>
        <color rgb="FF1F2937"/>
        <rFont val="맑은 고딕"/>
        <family val="3"/>
        <charset val="129"/>
      </rPr>
      <t>KB-Bridge_</t>
    </r>
    <r>
      <rPr>
        <sz val="11"/>
        <color rgb="FF1F2937"/>
        <rFont val="Noto Sans CJK SC"/>
        <family val="2"/>
      </rPr>
      <t>업종별시총상위</t>
    </r>
    <r>
      <rPr>
        <sz val="11"/>
        <color rgb="FF1F2937"/>
        <rFont val="맑은 고딕"/>
        <family val="3"/>
        <charset val="129"/>
      </rPr>
      <t>10_20261022_v0.0.2.xlsx</t>
    </r>
  </si>
  <si>
    <t>N-R28
N-R37
N-R42</t>
  </si>
  <si>
    <t>N-F25
N-F35</t>
  </si>
  <si>
    <t>N-U02
N-U09
N-U19</t>
  </si>
  <si>
    <t>1.3, 1.5, 1.6, 1.7</t>
  </si>
  <si>
    <r>
      <rPr>
        <sz val="11"/>
        <color rgb="FF1F2937"/>
        <rFont val="맑은 고딕"/>
        <family val="3"/>
        <charset val="129"/>
      </rPr>
      <t>1</t>
    </r>
    <r>
      <rPr>
        <sz val="11"/>
        <color rgb="FF1F2937"/>
        <rFont val="Noto Sans CJK SC"/>
        <family val="2"/>
      </rPr>
      <t>차 범위 결정 기록</t>
    </r>
  </si>
  <si>
    <r>
      <rPr>
        <sz val="11"/>
        <color rgb="FF1F2937"/>
        <rFont val="맑은 고딕"/>
        <family val="3"/>
        <charset val="129"/>
      </rPr>
      <t>4</t>
    </r>
    <r>
      <rPr>
        <sz val="11"/>
        <color rgb="FF1F2937"/>
        <rFont val="Noto Sans CJK SC"/>
        <family val="2"/>
      </rPr>
      <t>개 업종 매핑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검증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학습 표본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산식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위험 사건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관측 창의 결정 여부를 기록한다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미정 질문의 미해결은 완료 처리하지 않으며</t>
    </r>
    <r>
      <rPr>
        <sz val="11"/>
        <color rgb="FF1F2937"/>
        <rFont val="맑은 고딕"/>
        <family val="3"/>
        <charset val="129"/>
      </rPr>
      <t xml:space="preserve">, </t>
    </r>
    <r>
      <rPr>
        <sz val="11"/>
        <color rgb="FF1F2937"/>
        <rFont val="Noto Sans CJK SC"/>
        <family val="2"/>
      </rPr>
      <t xml:space="preserve">최신 </t>
    </r>
    <r>
      <rPr>
        <sz val="11"/>
        <color rgb="FF1F2937"/>
        <rFont val="맑은 고딕"/>
        <family val="3"/>
        <charset val="129"/>
      </rPr>
      <t xml:space="preserve">v2.0/v0.0.4 </t>
    </r>
    <r>
      <rPr>
        <sz val="11"/>
        <color rgb="FF1F2937"/>
        <rFont val="Noto Sans CJK SC"/>
        <family val="2"/>
      </rPr>
      <t xml:space="preserve">변경은 </t>
    </r>
    <r>
      <rPr>
        <sz val="11"/>
        <color rgb="FF1F2937"/>
        <rFont val="맑은 고딕"/>
        <family val="3"/>
        <charset val="129"/>
      </rPr>
      <t>1.9</t>
    </r>
    <r>
      <rPr>
        <sz val="11"/>
        <color rgb="FF1F2937"/>
        <rFont val="Noto Sans CJK SC"/>
        <family val="2"/>
      </rPr>
      <t>에서 재확인한다</t>
    </r>
    <r>
      <rPr>
        <sz val="11"/>
        <color rgb="FF1F2937"/>
        <rFont val="맑은 고딕"/>
        <family val="3"/>
        <charset val="129"/>
      </rPr>
      <t>.</t>
    </r>
  </si>
  <si>
    <t>N-R01
N-R16
N-R17
N-R18
N-R28
N-R32
N-R33</t>
  </si>
  <si>
    <t>N-U01
N-U02
N-U03
N-U09</t>
  </si>
  <si>
    <r>
      <rPr>
        <sz val="11"/>
        <color rgb="FF1F2937"/>
        <rFont val="Noto Sans CJK SC"/>
        <family val="2"/>
      </rPr>
      <t>변경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충돌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미정 질문 </t>
    </r>
    <r>
      <rPr>
        <sz val="11"/>
        <color rgb="FF1F2937"/>
        <rFont val="맑은 고딕"/>
        <family val="3"/>
        <charset val="129"/>
      </rPr>
      <t>20</t>
    </r>
    <r>
      <rPr>
        <sz val="11"/>
        <color rgb="FF1F2937"/>
        <rFont val="Noto Sans CJK SC"/>
        <family val="2"/>
      </rPr>
      <t>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범위 기록</t>
    </r>
  </si>
  <si>
    <r>
      <rPr>
        <sz val="11"/>
        <color rgb="FF1F2937"/>
        <rFont val="Noto Sans CJK SC"/>
        <family val="2"/>
      </rPr>
      <t xml:space="preserve">요구사항의 </t>
    </r>
    <r>
      <rPr>
        <sz val="11"/>
        <color rgb="FF1F2937"/>
        <rFont val="맑은 고딕"/>
        <family val="3"/>
        <charset val="129"/>
      </rPr>
      <t xml:space="preserve">10/23 </t>
    </r>
    <r>
      <rPr>
        <sz val="11"/>
        <color rgb="FF1F2937"/>
        <rFont val="Noto Sans CJK SC"/>
        <family val="2"/>
      </rPr>
      <t>팀 결정</t>
    </r>
    <r>
      <rPr>
        <sz val="11"/>
        <color rgb="FF1F2937"/>
        <rFont val="맑은 고딕"/>
        <family val="3"/>
        <charset val="129"/>
      </rPr>
      <t>(4</t>
    </r>
    <r>
      <rPr>
        <sz val="11"/>
        <color rgb="FF1F2937"/>
        <rFont val="Noto Sans CJK SC"/>
        <family val="2"/>
      </rPr>
      <t>개 업종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렌탈 제외</t>
    </r>
    <r>
      <rPr>
        <sz val="11"/>
        <color rgb="FF1F2937"/>
        <rFont val="맑은 고딕"/>
        <family val="3"/>
        <charset val="129"/>
      </rPr>
      <t xml:space="preserve">·15/5 </t>
    </r>
    <r>
      <rPr>
        <sz val="11"/>
        <color rgb="FF1F2937"/>
        <rFont val="Noto Sans CJK SC"/>
        <family val="2"/>
      </rPr>
      <t>논의 필요</t>
    </r>
    <r>
      <rPr>
        <sz val="11"/>
        <color rgb="FF1F2937"/>
        <rFont val="맑은 고딕"/>
        <family val="3"/>
        <charset val="129"/>
      </rPr>
      <t>)</t>
    </r>
    <r>
      <rPr>
        <sz val="11"/>
        <color rgb="FF1F2937"/>
        <rFont val="Noto Sans CJK SC"/>
        <family val="2"/>
      </rPr>
      <t>을 충돌 부분에 우선한다</t>
    </r>
    <r>
      <rPr>
        <sz val="11"/>
        <color rgb="FF1F2937"/>
        <rFont val="맑은 고딕"/>
        <family val="3"/>
        <charset val="129"/>
      </rPr>
      <t xml:space="preserve">. R01~43/F01~41 </t>
    </r>
    <r>
      <rPr>
        <sz val="11"/>
        <color rgb="FF1F2937"/>
        <rFont val="Noto Sans CJK SC"/>
        <family val="2"/>
      </rPr>
      <t xml:space="preserve">연결과 </t>
    </r>
    <r>
      <rPr>
        <sz val="11"/>
        <color rgb="FF1F2937"/>
        <rFont val="맑은 고딕"/>
        <family val="3"/>
        <charset val="129"/>
      </rPr>
      <t>20</t>
    </r>
    <r>
      <rPr>
        <sz val="11"/>
        <color rgb="FF1F2937"/>
        <rFont val="Noto Sans CJK SC"/>
        <family val="2"/>
      </rPr>
      <t>개 질문의 담당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결정 필요 시점을 기록한다</t>
    </r>
    <r>
      <rPr>
        <sz val="11"/>
        <color rgb="FF1F2937"/>
        <rFont val="맑은 고딕"/>
        <family val="3"/>
        <charset val="129"/>
      </rPr>
      <t>. R31/F28~29</t>
    </r>
    <r>
      <rPr>
        <sz val="11"/>
        <color rgb="FF1F2937"/>
        <rFont val="Noto Sans CJK SC"/>
        <family val="2"/>
      </rPr>
      <t>는 확장 검토 기록만 남기며 초기 개발 완료로 세지 않는다</t>
    </r>
    <r>
      <rPr>
        <sz val="11"/>
        <color rgb="FF1F2937"/>
        <rFont val="맑은 고딕"/>
        <family val="3"/>
        <charset val="129"/>
      </rPr>
      <t>.</t>
    </r>
  </si>
  <si>
    <t>N-R01
N-R16
N-R28
N-R30
N-R31</t>
  </si>
  <si>
    <t>N-F27
N-F28
N-F29</t>
  </si>
  <si>
    <t>N-U01
N-U02
N-U03
N-U04
N-U05
N-U06
N-U07
N-U08
N-U09
N-U10
N-U11
N-U12
N-U13
N-U14
N-U15
N-U16
N-U17
N-U18
N-U19
N-U20</t>
  </si>
  <si>
    <r>
      <rPr>
        <sz val="11"/>
        <color rgb="FF1F2937"/>
        <rFont val="Noto Sans CJK SC"/>
        <family val="2"/>
      </rPr>
      <t>김동민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최수인</t>
    </r>
  </si>
  <si>
    <r>
      <rPr>
        <sz val="11"/>
        <color rgb="FF1F2937"/>
        <rFont val="맑은 고딕"/>
        <family val="3"/>
        <charset val="129"/>
      </rPr>
      <t>6</t>
    </r>
    <r>
      <rPr>
        <sz val="11"/>
        <color rgb="FF1F2937"/>
        <rFont val="Noto Sans CJK SC"/>
        <family val="2"/>
      </rPr>
      <t>축 지표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경고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주의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관찰 초안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근거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미정표</t>
    </r>
  </si>
  <si>
    <r>
      <rPr>
        <sz val="11"/>
        <color rgb="FF1F2937"/>
        <rFont val="Noto Sans CJK SC"/>
        <family val="2"/>
      </rPr>
      <t>상환재원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유동성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만기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구조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우발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부외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외부평가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담보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 xml:space="preserve">회수 </t>
    </r>
    <r>
      <rPr>
        <sz val="11"/>
        <color rgb="FF1F2937"/>
        <rFont val="맑은 고딕"/>
        <family val="3"/>
        <charset val="129"/>
      </rPr>
      <t>6</t>
    </r>
    <r>
      <rPr>
        <sz val="11"/>
        <color rgb="FF1F2937"/>
        <rFont val="Noto Sans CJK SC"/>
        <family val="2"/>
      </rPr>
      <t>축과 업종 우선 지표를 연결한다</t>
    </r>
    <r>
      <rPr>
        <sz val="11"/>
        <color rgb="FF1F2937"/>
        <rFont val="맑은 고딕"/>
        <family val="3"/>
        <charset val="129"/>
      </rPr>
      <t>. 1</t>
    </r>
    <r>
      <rPr>
        <sz val="11"/>
        <color rgb="FF1F2937"/>
        <rFont val="Noto Sans CJK SC"/>
        <family val="2"/>
      </rPr>
      <t>배</t>
    </r>
    <r>
      <rPr>
        <sz val="11"/>
        <color rgb="FF1F2937"/>
        <rFont val="맑은 고딕"/>
        <family val="3"/>
        <charset val="129"/>
      </rPr>
      <t>/3</t>
    </r>
    <r>
      <rPr>
        <sz val="11"/>
        <color rgb="FF1F2937"/>
        <rFont val="Noto Sans CJK SC"/>
        <family val="2"/>
      </rPr>
      <t>년</t>
    </r>
    <r>
      <rPr>
        <sz val="11"/>
        <color rgb="FF1F2937"/>
        <rFont val="맑은 고딕"/>
        <family val="3"/>
        <charset val="129"/>
      </rPr>
      <t>/2</t>
    </r>
    <r>
      <rPr>
        <sz val="11"/>
        <color rgb="FF1F2937"/>
        <rFont val="Noto Sans CJK SC"/>
        <family val="2"/>
      </rPr>
      <t>년 등의 수치는 팀 가설로 표시하고 현직자 검토와 기준 버전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누락 처리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종합 우선순위는 미정 상태를 구분한다</t>
    </r>
    <r>
      <rPr>
        <sz val="11"/>
        <color rgb="FF1F2937"/>
        <rFont val="맑은 고딕"/>
        <family val="3"/>
        <charset val="129"/>
      </rPr>
      <t>.</t>
    </r>
  </si>
  <si>
    <t>N-R14
N-R24
N-R36
N-R38
N-R39</t>
  </si>
  <si>
    <t>N-F21
N-F34
N-F36
N-F37</t>
  </si>
  <si>
    <t>N-U06
N-U12
N-U17</t>
  </si>
  <si>
    <r>
      <rPr>
        <sz val="11"/>
        <color rgb="FF1F2937"/>
        <rFont val="Noto Sans CJK SC"/>
        <family val="2"/>
      </rPr>
      <t>위험 사건별 이력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사건일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공시 원문</t>
    </r>
  </si>
  <si>
    <r>
      <rPr>
        <sz val="11"/>
        <color rgb="FF1F2937"/>
        <rFont val="Noto Sans CJK SC"/>
        <family val="2"/>
      </rPr>
      <t>주요사항보고서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감사보고서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기한이익상실 공시를 대조하고 유형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사건일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최초 공개일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접수번호를 보존한다</t>
    </r>
    <r>
      <rPr>
        <sz val="11"/>
        <color rgb="FF1F2937"/>
        <rFont val="맑은 고딕"/>
        <family val="3"/>
        <charset val="129"/>
      </rPr>
      <t xml:space="preserve">. API </t>
    </r>
    <r>
      <rPr>
        <sz val="11"/>
        <color rgb="FF1F2937"/>
        <rFont val="Noto Sans CJK SC"/>
        <family val="2"/>
      </rPr>
      <t>미조회만으로 비발생을 단정하지 않고 제공 기간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기업 범위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누락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실패를 기록한다</t>
    </r>
    <r>
      <rPr>
        <sz val="11"/>
        <color rgb="FF1F2937"/>
        <rFont val="맑은 고딕"/>
        <family val="3"/>
        <charset val="129"/>
      </rPr>
      <t>.</t>
    </r>
  </si>
  <si>
    <t>N-R17
N-R18
N-R20</t>
  </si>
  <si>
    <r>
      <rPr>
        <sz val="11"/>
        <color rgb="FF1F2937"/>
        <rFont val="Noto Sans CJK SC"/>
        <family val="2"/>
      </rPr>
      <t>수집 응답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공시 목록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캐시</t>
    </r>
  </si>
  <si>
    <r>
      <rPr>
        <sz val="11"/>
        <color rgb="FF1F2937"/>
        <rFont val="Noto Sans CJK SC"/>
        <family val="2"/>
      </rPr>
      <t>기업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업종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보고서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접수번호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공시일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수집일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버전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정정 관계를 보존한다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공개 당시 알 수 있는 데이터만 모델 시점에 연결하고 실패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캐시 정책은 별도 기록한다</t>
    </r>
    <r>
      <rPr>
        <sz val="11"/>
        <color rgb="FF1F2937"/>
        <rFont val="맑은 고딕"/>
        <family val="3"/>
        <charset val="129"/>
      </rPr>
      <t>.</t>
    </r>
  </si>
  <si>
    <t>N-R03
N-R27
N-R30</t>
  </si>
  <si>
    <t>N-F02
N-F24
N-F27</t>
  </si>
  <si>
    <t>N-U08</t>
  </si>
  <si>
    <r>
      <rPr>
        <sz val="11"/>
        <color rgb="FF1F2937"/>
        <rFont val="Noto Sans CJK SC"/>
        <family val="2"/>
      </rPr>
      <t>계정 매핑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표준 데이터</t>
    </r>
  </si>
  <si>
    <r>
      <rPr>
        <sz val="11"/>
        <color rgb="FF1F2937"/>
        <rFont val="Noto Sans CJK SC"/>
        <family val="2"/>
      </rPr>
      <t>연결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별도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통화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단위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정정 기준과 표준 계정 매핑을 구분한다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미확보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공시 없음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계산 불가</t>
    </r>
    <r>
      <rPr>
        <sz val="11"/>
        <color rgb="FF1F2937"/>
        <rFont val="맑은 고딕"/>
        <family val="3"/>
        <charset val="129"/>
      </rPr>
      <t>/0</t>
    </r>
    <r>
      <rPr>
        <sz val="11"/>
        <color rgb="FF1F2937"/>
        <rFont val="Noto Sans CJK SC"/>
        <family val="2"/>
      </rPr>
      <t>을 합치지 않고 결측 원인을 보존한다</t>
    </r>
    <r>
      <rPr>
        <sz val="11"/>
        <color rgb="FF1F2937"/>
        <rFont val="맑은 고딕"/>
        <family val="3"/>
        <charset val="129"/>
      </rPr>
      <t>.</t>
    </r>
  </si>
  <si>
    <t>N-R04
N-R05
N-R33
N-R37</t>
  </si>
  <si>
    <t>N-F03
N-F31
N-F35</t>
  </si>
  <si>
    <r>
      <rPr>
        <sz val="11"/>
        <color rgb="FF1F2937"/>
        <rFont val="Noto Sans CJK SC"/>
        <family val="2"/>
      </rPr>
      <t>기업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공시시점별 학습 원자료</t>
    </r>
  </si>
  <si>
    <r>
      <rPr>
        <sz val="11"/>
        <color rgb="FF1F2937"/>
        <rFont val="Noto Sans CJK SC"/>
        <family val="2"/>
      </rPr>
      <t>기업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공시시점별 재무와 원문 주석을 수집하고 원본 버전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회계 범위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공개일을 저장한다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기능 검증 수와 모델 학습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평가 기업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관측치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위험 사건 수를 구분한다</t>
    </r>
    <r>
      <rPr>
        <sz val="11"/>
        <color rgb="FF1F2937"/>
        <rFont val="맑은 고딕"/>
        <family val="3"/>
        <charset val="129"/>
      </rPr>
      <t>.</t>
    </r>
  </si>
  <si>
    <t>N-R03
N-R18
N-R19
N-R20</t>
  </si>
  <si>
    <t>N-F02
N-F14
N-F15
N-F16</t>
  </si>
  <si>
    <t>N-U01
N-U03
N-U04</t>
  </si>
  <si>
    <r>
      <rPr>
        <sz val="11"/>
        <color rgb="FF1F2937"/>
        <rFont val="Noto Sans CJK SC"/>
        <family val="2"/>
      </rPr>
      <t>오준탁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김동민</t>
    </r>
  </si>
  <si>
    <t>1.5, 1.6</t>
  </si>
  <si>
    <r>
      <rPr>
        <sz val="11"/>
        <color rgb="FF1F2937"/>
        <rFont val="Noto Sans CJK SC"/>
        <family val="2"/>
      </rPr>
      <t>수치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주석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출처 정답지</t>
    </r>
  </si>
  <si>
    <r>
      <rPr>
        <sz val="11"/>
        <color rgb="FF1F2937"/>
        <rFont val="Noto Sans CJK SC"/>
        <family val="2"/>
      </rPr>
      <t xml:space="preserve">선정 표본 수는 </t>
    </r>
    <r>
      <rPr>
        <sz val="11"/>
        <color rgb="FF1F2937"/>
        <rFont val="맑은 고딕"/>
        <family val="3"/>
        <charset val="129"/>
      </rPr>
      <t xml:space="preserve">N-U02 </t>
    </r>
    <r>
      <rPr>
        <sz val="11"/>
        <color rgb="FF1F2937"/>
        <rFont val="Noto Sans CJK SC"/>
        <family val="2"/>
      </rPr>
      <t>합의 후 적용한다</t>
    </r>
    <r>
      <rPr>
        <sz val="11"/>
        <color rgb="FF1F2937"/>
        <rFont val="맑은 고딕"/>
        <family val="3"/>
        <charset val="129"/>
      </rPr>
      <t>(5</t>
    </r>
    <r>
      <rPr>
        <sz val="11"/>
        <color rgb="FF1F2937"/>
        <rFont val="Noto Sans CJK SC"/>
        <family val="2"/>
      </rPr>
      <t>곳 논의 필요</t>
    </r>
    <r>
      <rPr>
        <sz val="11"/>
        <color rgb="FF1F2937"/>
        <rFont val="맑은 고딕"/>
        <family val="3"/>
        <charset val="129"/>
      </rPr>
      <t xml:space="preserve">). </t>
    </r>
    <r>
      <rPr>
        <sz val="11"/>
        <color rgb="FF1F2937"/>
        <rFont val="Noto Sans CJK SC"/>
        <family val="2"/>
      </rPr>
      <t>수치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산식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주석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검출 상태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확인 항목을 대조하고 정답지 판정자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예외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미검출 원인을 기록한다</t>
    </r>
    <r>
      <rPr>
        <sz val="11"/>
        <color rgb="FF1F2937"/>
        <rFont val="맑은 고딕"/>
        <family val="3"/>
        <charset val="129"/>
      </rPr>
      <t>.</t>
    </r>
  </si>
  <si>
    <t>N-R28
N-R33
N-R34
N-R35
N-R37
N-R41
N-R42
N-R43</t>
  </si>
  <si>
    <t>N-F25
N-F35
N-F39
N-F40
N-F41</t>
  </si>
  <si>
    <t>관련 주석 원문 표본</t>
  </si>
  <si>
    <r>
      <rPr>
        <sz val="11"/>
        <color rgb="FF1F2937"/>
        <rFont val="Noto Sans CJK SC"/>
        <family val="2"/>
      </rPr>
      <t>소송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보증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담보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약정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차입 만기</t>
    </r>
    <r>
      <rPr>
        <sz val="11"/>
        <color rgb="FF1F2937"/>
        <rFont val="맑은 고딕"/>
        <family val="3"/>
        <charset val="129"/>
      </rPr>
      <t>·PF·</t>
    </r>
    <r>
      <rPr>
        <sz val="11"/>
        <color rgb="FF1F2937"/>
        <rFont val="Noto Sans CJK SC"/>
        <family val="2"/>
      </rPr>
      <t>리스 등 공통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업종별 구간을 확보하고 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본문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교차참조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중복과 출처 위치를 기록한다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장비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물품 렌탈 추가 수집은 제외한다</t>
    </r>
    <r>
      <rPr>
        <sz val="11"/>
        <color rgb="FF1F2937"/>
        <rFont val="맑은 고딕"/>
        <family val="3"/>
        <charset val="129"/>
      </rPr>
      <t>.</t>
    </r>
  </si>
  <si>
    <t>N-R11
N-R41
N-R42
N-R43</t>
  </si>
  <si>
    <t>N-F09
N-F39
N-F40
N-F41</t>
  </si>
  <si>
    <t>N-U04
N-U18
N-U19</t>
  </si>
  <si>
    <t>2.7, 2.8</t>
  </si>
  <si>
    <r>
      <rPr>
        <sz val="11"/>
        <color rgb="FF1F2937"/>
        <rFont val="Noto Sans CJK SC"/>
        <family val="2"/>
      </rPr>
      <t>모델 학습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평가 표본 명세</t>
    </r>
  </si>
  <si>
    <r>
      <rPr>
        <sz val="11"/>
        <color rgb="FF1F2937"/>
        <rFont val="Noto Sans CJK SC"/>
        <family val="2"/>
      </rPr>
      <t xml:space="preserve">공개 기준일 다음 </t>
    </r>
    <r>
      <rPr>
        <sz val="11"/>
        <color rgb="FF1F2937"/>
        <rFont val="맑은 고딕"/>
        <family val="3"/>
        <charset val="129"/>
      </rPr>
      <t>12</t>
    </r>
    <r>
      <rPr>
        <sz val="11"/>
        <color rgb="FF1F2937"/>
        <rFont val="Noto Sans CJK SC"/>
        <family val="2"/>
      </rPr>
      <t>개월 위험 사건과 비발생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추적 미완료를 구분한다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충분한 추적 종료 전에 정상 라벨을 부여하지 않고 이미 사건 발생한 관측은 분리한다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학습 결과가 다음 검증 시작 전에 확정되도록 설계한다</t>
    </r>
    <r>
      <rPr>
        <sz val="11"/>
        <color rgb="FF1F2937"/>
        <rFont val="맑은 고딕"/>
        <family val="3"/>
        <charset val="129"/>
      </rPr>
      <t>.</t>
    </r>
  </si>
  <si>
    <t>N-R16
N-R18
N-R20</t>
  </si>
  <si>
    <t>N-F14
N-F16</t>
  </si>
  <si>
    <r>
      <rPr>
        <sz val="11"/>
        <color rgb="FF1F2937"/>
        <rFont val="Noto Sans CJK SC"/>
        <family val="2"/>
      </rPr>
      <t>김동혁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최수인</t>
    </r>
  </si>
  <si>
    <t>1.9, 2.2</t>
  </si>
  <si>
    <r>
      <rPr>
        <sz val="11"/>
        <color rgb="FF1F2937"/>
        <rFont val="Noto Sans CJK SC"/>
        <family val="2"/>
      </rPr>
      <t>업종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항목 확보율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결측 사유표</t>
    </r>
  </si>
  <si>
    <r>
      <rPr>
        <sz val="11"/>
        <color rgb="FF1F2937"/>
        <rFont val="맑은 고딕"/>
        <family val="3"/>
        <charset val="129"/>
      </rPr>
      <t>4</t>
    </r>
    <r>
      <rPr>
        <sz val="11"/>
        <color rgb="FF1F2937"/>
        <rFont val="Noto Sans CJK SC"/>
        <family val="2"/>
      </rPr>
      <t>개 업종의 필수 계정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이자비용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차입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만기</t>
    </r>
    <r>
      <rPr>
        <sz val="11"/>
        <color rgb="FF1F2937"/>
        <rFont val="맑은 고딕"/>
        <family val="3"/>
        <charset val="129"/>
      </rPr>
      <t>·EBITDA·</t>
    </r>
    <r>
      <rPr>
        <sz val="11"/>
        <color rgb="FF1F2937"/>
        <rFont val="Noto Sans CJK SC"/>
        <family val="2"/>
      </rPr>
      <t>운전자본을 점검한다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 xml:space="preserve">업종별 </t>
    </r>
    <r>
      <rPr>
        <sz val="11"/>
        <color rgb="FF1F2937"/>
        <rFont val="맑은 고딕"/>
        <family val="3"/>
        <charset val="129"/>
      </rPr>
      <t>5</t>
    </r>
    <r>
      <rPr>
        <sz val="11"/>
        <color rgb="FF1F2937"/>
        <rFont val="Noto Sans CJK SC"/>
        <family val="2"/>
      </rPr>
      <t xml:space="preserve">개 이상은 계정 점검 계획이며 </t>
    </r>
    <r>
      <rPr>
        <sz val="11"/>
        <color rgb="FF1F2937"/>
        <rFont val="맑은 고딕"/>
        <family val="3"/>
        <charset val="129"/>
      </rPr>
      <t>70%</t>
    </r>
    <r>
      <rPr>
        <sz val="11"/>
        <color rgb="FF1F2937"/>
        <rFont val="Noto Sans CJK SC"/>
        <family val="2"/>
      </rPr>
      <t>는 예시일 뿐 합격 확정값이 아니다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확보 결과와 대안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추가 수집을 기록한다</t>
    </r>
    <r>
      <rPr>
        <sz val="11"/>
        <color rgb="FF1F2937"/>
        <rFont val="맑은 고딕"/>
        <family val="3"/>
        <charset val="129"/>
      </rPr>
      <t>.</t>
    </r>
  </si>
  <si>
    <t>N-R05
N-R33
N-R34
N-R35
N-R37</t>
  </si>
  <si>
    <t>N-F03
N-F31
N-F32
N-F33
N-F35</t>
  </si>
  <si>
    <t>N-U02
N-U11
N-U13
N-U14</t>
  </si>
  <si>
    <t>1.9, 2.1</t>
  </si>
  <si>
    <r>
      <rPr>
        <sz val="11"/>
        <color rgb="FF1F2937"/>
        <rFont val="Noto Sans CJK SC"/>
        <family val="2"/>
      </rPr>
      <t>원문 구간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교차참조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구조화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검출 상태 저장 구조</t>
    </r>
  </si>
  <si>
    <r>
      <rPr>
        <sz val="11"/>
        <color rgb="FF1F2937"/>
        <rFont val="Noto Sans CJK SC"/>
        <family val="2"/>
      </rPr>
      <t>보고서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구간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접수번호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공개일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버전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현재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전기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방향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한도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잔액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공시상 없음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미검출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추출 실패를 분리한다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공시상 없음은 명시 원문이 있어야 하며 금액 미기재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 xml:space="preserve">실패를 </t>
    </r>
    <r>
      <rPr>
        <sz val="11"/>
        <color rgb="FF1F2937"/>
        <rFont val="맑은 고딕"/>
        <family val="3"/>
        <charset val="129"/>
      </rPr>
      <t>0</t>
    </r>
    <r>
      <rPr>
        <sz val="11"/>
        <color rgb="FF1F2937"/>
        <rFont val="Noto Sans CJK SC"/>
        <family val="2"/>
      </rPr>
      <t>으로 바꾸지 않는다</t>
    </r>
    <r>
      <rPr>
        <sz val="11"/>
        <color rgb="FF1F2937"/>
        <rFont val="맑은 고딕"/>
        <family val="3"/>
        <charset val="129"/>
      </rPr>
      <t>.</t>
    </r>
  </si>
  <si>
    <t>N-R03
N-R12
N-R27
N-R41
N-R42
N-R43</t>
  </si>
  <si>
    <t>N-F02
N-F10
N-F24
N-F39
N-F40
N-F41</t>
  </si>
  <si>
    <t>N-U04
N-U08
N-U18</t>
  </si>
  <si>
    <t>2.1, 2.2</t>
  </si>
  <si>
    <t>품질 점검 결과</t>
  </si>
  <si>
    <r>
      <rPr>
        <sz val="11"/>
        <color rgb="FF1F2937"/>
        <rFont val="Noto Sans CJK SC"/>
        <family val="2"/>
      </rPr>
      <t>합계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부호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단위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계정 매핑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결측</t>
    </r>
    <r>
      <rPr>
        <sz val="11"/>
        <color rgb="FF1F2937"/>
        <rFont val="맑은 고딕"/>
        <family val="3"/>
        <charset val="129"/>
      </rPr>
      <t>/0·</t>
    </r>
    <r>
      <rPr>
        <sz val="11"/>
        <color rgb="FF1F2937"/>
        <rFont val="Noto Sans CJK SC"/>
        <family val="2"/>
      </rPr>
      <t>원문 일치를 검산한다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계정 확보율을 업종별로 기록하고 예시 합격률을 확정 기준으로 쓰지 않는다</t>
    </r>
    <r>
      <rPr>
        <sz val="11"/>
        <color rgb="FF1F2937"/>
        <rFont val="맑은 고딕"/>
        <family val="3"/>
        <charset val="129"/>
      </rPr>
      <t>.</t>
    </r>
  </si>
  <si>
    <t>N-R05
N-R28
N-R37</t>
  </si>
  <si>
    <t>N-F03
N-F25
N-F35</t>
  </si>
  <si>
    <t>N-U09</t>
  </si>
  <si>
    <r>
      <rPr>
        <sz val="11"/>
        <color rgb="FF1F2937"/>
        <rFont val="Noto Sans CJK SC"/>
        <family val="2"/>
      </rPr>
      <t>비교 기업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표본 수</t>
    </r>
  </si>
  <si>
    <r>
      <rPr>
        <sz val="11"/>
        <color rgb="FF1F2937"/>
        <rFont val="Noto Sans CJK SC"/>
        <family val="2"/>
      </rPr>
      <t>동일 업종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회계 기준의 비교 기업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분포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표본 수를 표시한다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표본 부족은 비교 불가로 표시하며 한국은행 평균의 업종 수준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연도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모집단 차이는 </t>
    </r>
    <r>
      <rPr>
        <sz val="11"/>
        <color rgb="FF1F2937"/>
        <rFont val="맑은 고딕"/>
        <family val="3"/>
        <charset val="129"/>
      </rPr>
      <t xml:space="preserve">N-U16 </t>
    </r>
    <r>
      <rPr>
        <sz val="11"/>
        <color rgb="FF1F2937"/>
        <rFont val="Noto Sans CJK SC"/>
        <family val="2"/>
      </rPr>
      <t>결정 후 적용한다</t>
    </r>
    <r>
      <rPr>
        <sz val="11"/>
        <color rgb="FF1F2937"/>
        <rFont val="맑은 고딕"/>
        <family val="3"/>
        <charset val="129"/>
      </rPr>
      <t>.</t>
    </r>
  </si>
  <si>
    <t>N-R10
N-R40</t>
  </si>
  <si>
    <t>N-F08
N-F38</t>
  </si>
  <si>
    <t>N-U06
N-U16
N-U20</t>
  </si>
  <si>
    <r>
      <rPr>
        <sz val="11"/>
        <color rgb="FF1F2937"/>
        <rFont val="Noto Sans CJK SC"/>
        <family val="2"/>
      </rPr>
      <t>검색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업종 선택 화면</t>
    </r>
  </si>
  <si>
    <r>
      <rPr>
        <sz val="11"/>
        <color rgb="FF1F2937"/>
        <rFont val="Noto Sans CJK SC"/>
        <family val="2"/>
      </rPr>
      <t>기업 식별</t>
    </r>
    <r>
      <rPr>
        <sz val="11"/>
        <color rgb="FF1F2937"/>
        <rFont val="맑은 고딕"/>
        <family val="3"/>
        <charset val="129"/>
      </rPr>
      <t xml:space="preserve">·DART </t>
    </r>
    <r>
      <rPr>
        <sz val="11"/>
        <color rgb="FF1F2937"/>
        <rFont val="Noto Sans CJK SC"/>
        <family val="2"/>
      </rPr>
      <t>업종코드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서비스 업종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세부분류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적용 기준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보고 기간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연결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별도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결산월을 표시한다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 xml:space="preserve">수동 업종 변경과 근거는 </t>
    </r>
    <r>
      <rPr>
        <sz val="11"/>
        <color rgb="FF1F2937"/>
        <rFont val="맑은 고딕"/>
        <family val="3"/>
        <charset val="129"/>
      </rPr>
      <t>3.12</t>
    </r>
    <r>
      <rPr>
        <sz val="11"/>
        <color rgb="FF1F2937"/>
        <rFont val="Noto Sans CJK SC"/>
        <family val="2"/>
      </rPr>
      <t>에 연결한다</t>
    </r>
    <r>
      <rPr>
        <sz val="11"/>
        <color rgb="FF1F2937"/>
        <rFont val="맑은 고딕"/>
        <family val="3"/>
        <charset val="129"/>
      </rPr>
      <t>.</t>
    </r>
  </si>
  <si>
    <t>N-R01
N-R02
N-R32</t>
  </si>
  <si>
    <r>
      <rPr>
        <sz val="11"/>
        <color rgb="FF1F2937"/>
        <rFont val="Noto Sans CJK SC"/>
        <family val="2"/>
      </rPr>
      <t>계산 로직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검산 결과</t>
    </r>
  </si>
  <si>
    <r>
      <rPr>
        <sz val="11"/>
        <color rgb="FF1F2937"/>
        <rFont val="Noto Sans CJK SC"/>
        <family val="2"/>
      </rPr>
      <t>영업이익 변동 금액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기여도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잔차와 </t>
    </r>
    <r>
      <rPr>
        <sz val="11"/>
        <color rgb="FF1F2937"/>
        <rFont val="맑은 고딕"/>
        <family val="3"/>
        <charset val="129"/>
      </rPr>
      <t>0/</t>
    </r>
    <r>
      <rPr>
        <sz val="11"/>
        <color rgb="FF1F2937"/>
        <rFont val="Noto Sans CJK SC"/>
        <family val="2"/>
      </rPr>
      <t>음수 분모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적자 전환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결측을 검산한다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숫자 분해를 인과관계로 단정하지 않는다</t>
    </r>
    <r>
      <rPr>
        <sz val="11"/>
        <color rgb="FF1F2937"/>
        <rFont val="맑은 고딕"/>
        <family val="3"/>
        <charset val="129"/>
      </rPr>
      <t>.</t>
    </r>
  </si>
  <si>
    <t>N-R08
N-R09</t>
  </si>
  <si>
    <t>N-F06
N-F07</t>
  </si>
  <si>
    <t>1.9, 3.2</t>
  </si>
  <si>
    <r>
      <rPr>
        <sz val="11"/>
        <color rgb="FF1F2937"/>
        <rFont val="맑은 고딕"/>
        <family val="3"/>
        <charset val="129"/>
      </rPr>
      <t xml:space="preserve">DART </t>
    </r>
    <r>
      <rPr>
        <sz val="11"/>
        <color rgb="FF1F2937"/>
        <rFont val="Noto Sans CJK SC"/>
        <family val="2"/>
      </rPr>
      <t>매핑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복합 판정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수동 변경 기록</t>
    </r>
  </si>
  <si>
    <r>
      <rPr>
        <sz val="11"/>
        <color rgb="FF1F2937"/>
        <rFont val="Noto Sans CJK SC"/>
        <family val="2"/>
      </rPr>
      <t>기업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업종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세부분류와 건설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부동산 임대 적용 기준을 표시한다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복합 판정 매출 비중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권한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 xml:space="preserve">저장은 </t>
    </r>
    <r>
      <rPr>
        <sz val="11"/>
        <color rgb="FF1F2937"/>
        <rFont val="맑은 고딕"/>
        <family val="3"/>
        <charset val="129"/>
      </rPr>
      <t xml:space="preserve">N-U15 </t>
    </r>
    <r>
      <rPr>
        <sz val="11"/>
        <color rgb="FF1F2937"/>
        <rFont val="Noto Sans CJK SC"/>
        <family val="2"/>
      </rPr>
      <t>합의 후 적용하고 담당자 변경 사유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근거를 보존해 변경 업종 기준으로 다시 분석한다</t>
    </r>
    <r>
      <rPr>
        <sz val="11"/>
        <color rgb="FF1F2937"/>
        <rFont val="맑은 고딕"/>
        <family val="3"/>
        <charset val="129"/>
      </rPr>
      <t>.</t>
    </r>
  </si>
  <si>
    <t>3.2, 1.6</t>
  </si>
  <si>
    <r>
      <rPr>
        <sz val="11"/>
        <color rgb="FF1F2937"/>
        <rFont val="Noto Sans CJK SC"/>
        <family val="2"/>
      </rPr>
      <t>영업이익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변동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현금흐름 화면</t>
    </r>
  </si>
  <si>
    <r>
      <rPr>
        <sz val="11"/>
        <color rgb="FF1F2937"/>
        <rFont val="Noto Sans CJK SC"/>
        <family val="2"/>
      </rPr>
      <t>영업이익 우선 배치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업종별 감가상각 강조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차입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상환능력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운전자본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회계 범위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원문을 표시한다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 xml:space="preserve">신규 업종 패널은 기존 </t>
    </r>
    <r>
      <rPr>
        <sz val="11"/>
        <color rgb="FF1F2937"/>
        <rFont val="맑은 고딕"/>
        <family val="3"/>
        <charset val="129"/>
      </rPr>
      <t>N-S04</t>
    </r>
    <r>
      <rPr>
        <sz val="11"/>
        <color rgb="FF1F2937"/>
        <rFont val="Noto Sans CJK SC"/>
        <family val="2"/>
      </rPr>
      <t>에 붙이고 화면을 별도 신설하지 않는다</t>
    </r>
    <r>
      <rPr>
        <sz val="11"/>
        <color rgb="FF1F2937"/>
        <rFont val="맑은 고딕"/>
        <family val="3"/>
        <charset val="129"/>
      </rPr>
      <t>.</t>
    </r>
  </si>
  <si>
    <t>N-R07
N-R09
N-R27
N-R33
N-R34
N-R35
N-R38
N-R40</t>
  </si>
  <si>
    <t>N-F05
N-F07
N-F24
N-F32
N-F33
N-F36
N-F38</t>
  </si>
  <si>
    <t>N-U20</t>
  </si>
  <si>
    <r>
      <rPr>
        <sz val="11"/>
        <color rgb="FF1F2937"/>
        <rFont val="Noto Sans CJK SC"/>
        <family val="2"/>
      </rPr>
      <t>서종원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오준탁</t>
    </r>
  </si>
  <si>
    <t>1.6, 2.4, 2.10</t>
  </si>
  <si>
    <r>
      <rPr>
        <sz val="11"/>
        <color rgb="FF1F2937"/>
        <rFont val="Noto Sans CJK SC"/>
        <family val="2"/>
      </rPr>
      <t>차입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상환</t>
    </r>
    <r>
      <rPr>
        <sz val="11"/>
        <color rgb="FF1F2937"/>
        <rFont val="맑은 고딕"/>
        <family val="3"/>
        <charset val="129"/>
      </rPr>
      <t>·CCC·</t>
    </r>
    <r>
      <rPr>
        <sz val="11"/>
        <color rgb="FF1F2937"/>
        <rFont val="Noto Sans CJK SC"/>
        <family val="2"/>
      </rPr>
      <t>운전자본 계산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검산 기록</t>
    </r>
  </si>
  <si>
    <r>
      <rPr>
        <sz val="11"/>
        <color rgb="FF1F2937"/>
        <rFont val="Noto Sans CJK SC"/>
        <family val="2"/>
      </rPr>
      <t>차입금</t>
    </r>
    <r>
      <rPr>
        <sz val="11"/>
        <color rgb="FF1F2937"/>
        <rFont val="맑은 고딕"/>
        <family val="3"/>
        <charset val="129"/>
      </rPr>
      <t>/EBITDA/</t>
    </r>
    <r>
      <rPr>
        <sz val="11"/>
        <color rgb="FF1F2937"/>
        <rFont val="Noto Sans CJK SC"/>
        <family val="2"/>
      </rPr>
      <t>이자보상과 업종별 회전율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일수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현금전환주기를 산출한다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금융원가 근사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임대보증금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평균 잔액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분모 예외는 결정 기준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미정에 맞춰 표시하며 정답지로 검산한다</t>
    </r>
    <r>
      <rPr>
        <sz val="11"/>
        <color rgb="FF1F2937"/>
        <rFont val="맑은 고딕"/>
        <family val="3"/>
        <charset val="129"/>
      </rPr>
      <t>.</t>
    </r>
  </si>
  <si>
    <t>N-R07
N-R09
N-R33
N-R34
N-R35
N-R37</t>
  </si>
  <si>
    <t>N-F05
N-F07
N-F31
N-F32
N-F33
N-F35</t>
  </si>
  <si>
    <r>
      <rPr>
        <sz val="11"/>
        <color rgb="FF1F2937"/>
        <rFont val="Noto Sans CJK SC"/>
        <family val="2"/>
      </rPr>
      <t>확인 기록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메모 초안</t>
    </r>
  </si>
  <si>
    <r>
      <rPr>
        <sz val="11"/>
        <color rgb="FF1F2937"/>
        <rFont val="Noto Sans CJK SC"/>
        <family val="2"/>
      </rPr>
      <t>규칙 징후 단계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모델 확률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담당자 확인 상태를 별도로 저장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표시한다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미확인 모음과 근거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수치 복사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수정 및 내부 추가 확인 안내를 제공한다</t>
    </r>
    <r>
      <rPr>
        <sz val="11"/>
        <color rgb="FF1F2937"/>
        <rFont val="맑은 고딕"/>
        <family val="3"/>
        <charset val="129"/>
      </rPr>
      <t>.</t>
    </r>
  </si>
  <si>
    <t>N-R14
N-R24
N-R25
N-R26
N-R27
N-R39
N-R43</t>
  </si>
  <si>
    <t>N-F21
N-F22
N-F23
N-F24
N-F37
N-F41</t>
  </si>
  <si>
    <t>N-U08
N-U17</t>
  </si>
  <si>
    <t>2.4, 2.5</t>
  </si>
  <si>
    <t>업종별 점검 기준</t>
  </si>
  <si>
    <r>
      <rPr>
        <sz val="11"/>
        <color rgb="FF1F2937"/>
        <rFont val="Noto Sans CJK SC"/>
        <family val="2"/>
      </rPr>
      <t>업종별 점검표</t>
    </r>
    <r>
      <rPr>
        <sz val="11"/>
        <color rgb="FF1F2937"/>
        <rFont val="맑은 고딕"/>
        <family val="3"/>
        <charset val="129"/>
      </rPr>
      <t>·6</t>
    </r>
    <r>
      <rPr>
        <sz val="11"/>
        <color rgb="FF1F2937"/>
        <rFont val="Noto Sans CJK SC"/>
        <family val="2"/>
      </rPr>
      <t>개 판단 축과 근거를 연결하고 팀 가설 수치와 검증 기준을 구분한다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규칙 단계가 은행 건전성 분류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내부 등급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승인 결정을 대신하지 않도록 안내한다</t>
    </r>
    <r>
      <rPr>
        <sz val="11"/>
        <color rgb="FF1F2937"/>
        <rFont val="맑은 고딕"/>
        <family val="3"/>
        <charset val="129"/>
      </rPr>
      <t>.</t>
    </r>
  </si>
  <si>
    <r>
      <rPr>
        <sz val="11"/>
        <color rgb="FF1F2937"/>
        <rFont val="Noto Sans CJK SC"/>
        <family val="2"/>
      </rPr>
      <t>오준탁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서종원</t>
    </r>
  </si>
  <si>
    <t>1.10, 3.8</t>
  </si>
  <si>
    <r>
      <rPr>
        <sz val="11"/>
        <color rgb="FF1F2937"/>
        <rFont val="Noto Sans CJK SC"/>
        <family val="2"/>
      </rPr>
      <t>업종별 지표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규칙 버전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단계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판정 근거</t>
    </r>
  </si>
  <si>
    <r>
      <rPr>
        <sz val="11"/>
        <color rgb="FF1F2937"/>
        <rFont val="맑은 고딕"/>
        <family val="3"/>
        <charset val="129"/>
      </rPr>
      <t>6</t>
    </r>
    <r>
      <rPr>
        <sz val="11"/>
        <color rgb="FF1F2937"/>
        <rFont val="Noto Sans CJK SC"/>
        <family val="2"/>
      </rPr>
      <t>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우선 지표와 경고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주의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관찰 조건을 연결한다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가설 수치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기준 버전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근거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계산 불가를 표시하고 미확보를 관찰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정상으로 치환하지 않는다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경고는 상단 고정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원문 확인 필수</t>
    </r>
    <r>
      <rPr>
        <sz val="11"/>
        <color rgb="FF1F2937"/>
        <rFont val="맑은 고딕"/>
        <family val="3"/>
        <charset val="129"/>
      </rPr>
      <t xml:space="preserve">, </t>
    </r>
    <r>
      <rPr>
        <sz val="11"/>
        <color rgb="FF1F2937"/>
        <rFont val="Noto Sans CJK SC"/>
        <family val="2"/>
      </rPr>
      <t>주의는 확인 항목에 추가한다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규칙 단계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미래 모델 확률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담당자 체크는 독립 상태로 유지한다</t>
    </r>
    <r>
      <rPr>
        <sz val="11"/>
        <color rgb="FF1F2937"/>
        <rFont val="맑은 고딕"/>
        <family val="3"/>
        <charset val="129"/>
      </rPr>
      <t>.</t>
    </r>
  </si>
  <si>
    <t>2.4, 3.3</t>
  </si>
  <si>
    <r>
      <rPr>
        <sz val="11"/>
        <color rgb="FF1F2937"/>
        <rFont val="Noto Sans CJK SC"/>
        <family val="2"/>
      </rPr>
      <t>수기 입력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출처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시점 표시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검증 결과</t>
    </r>
  </si>
  <si>
    <r>
      <rPr>
        <sz val="11"/>
        <color rgb="FF1F2937"/>
        <rFont val="Noto Sans CJK SC"/>
        <family val="2"/>
      </rPr>
      <t>직접 입력의 원문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입력자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시점과 공시 수집 값을 구분하고 필수 입력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단위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누락</t>
    </r>
    <r>
      <rPr>
        <sz val="11"/>
        <color rgb="FF1F2937"/>
        <rFont val="맑은 고딕"/>
        <family val="3"/>
        <charset val="129"/>
      </rPr>
      <t>/0·</t>
    </r>
    <r>
      <rPr>
        <sz val="11"/>
        <color rgb="FF1F2937"/>
        <rFont val="Noto Sans CJK SC"/>
        <family val="2"/>
      </rPr>
      <t>재계산을 검증한다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내부 은행 자료를 수집하거나 임의 입력을 공식 원문으로 표시하지 않는다</t>
    </r>
    <r>
      <rPr>
        <sz val="11"/>
        <color rgb="FF1F2937"/>
        <rFont val="맑은 고딕"/>
        <family val="3"/>
        <charset val="129"/>
      </rPr>
      <t>.</t>
    </r>
  </si>
  <si>
    <t>N-R06
N-R27</t>
  </si>
  <si>
    <t>N-F04
N-F24</t>
  </si>
  <si>
    <r>
      <rPr>
        <sz val="11"/>
        <color rgb="FF1F2937"/>
        <rFont val="Noto Sans CJK SC"/>
        <family val="2"/>
      </rPr>
      <t>김동민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오준탁</t>
    </r>
  </si>
  <si>
    <t>3.9, 2.11</t>
  </si>
  <si>
    <r>
      <rPr>
        <sz val="11"/>
        <color rgb="FF1F2937"/>
        <rFont val="맑은 고딕"/>
        <family val="3"/>
        <charset val="129"/>
      </rPr>
      <t xml:space="preserve">N-S04 </t>
    </r>
    <r>
      <rPr>
        <sz val="11"/>
        <color rgb="FF1F2937"/>
        <rFont val="Noto Sans CJK SC"/>
        <family val="2"/>
      </rPr>
      <t>위험 패널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업종 차트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원문 연결</t>
    </r>
  </si>
  <si>
    <r>
      <rPr>
        <sz val="11"/>
        <color rgb="FF1F2937"/>
        <rFont val="Noto Sans CJK SC"/>
        <family val="2"/>
      </rPr>
      <t xml:space="preserve">기존 </t>
    </r>
    <r>
      <rPr>
        <sz val="11"/>
        <color rgb="FF1F2937"/>
        <rFont val="맑은 고딕"/>
        <family val="3"/>
        <charset val="129"/>
      </rPr>
      <t>N-S04</t>
    </r>
    <r>
      <rPr>
        <sz val="11"/>
        <color rgb="FF1F2937"/>
        <rFont val="Noto Sans CJK SC"/>
        <family val="2"/>
      </rPr>
      <t>에 단계</t>
    </r>
    <r>
      <rPr>
        <sz val="11"/>
        <color rgb="FF1F2937"/>
        <rFont val="맑은 고딕"/>
        <family val="3"/>
        <charset val="129"/>
      </rPr>
      <t>/5</t>
    </r>
    <r>
      <rPr>
        <sz val="11"/>
        <color rgb="FF1F2937"/>
        <rFont val="Noto Sans CJK SC"/>
        <family val="2"/>
      </rPr>
      <t>개년 추세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업종 내 위치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주석 근거를 배치한다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 xml:space="preserve">제조 </t>
    </r>
    <r>
      <rPr>
        <sz val="11"/>
        <color rgb="FF1F2937"/>
        <rFont val="맑은 고딕"/>
        <family val="3"/>
        <charset val="129"/>
      </rPr>
      <t>CCC·</t>
    </r>
    <r>
      <rPr>
        <sz val="11"/>
        <color rgb="FF1F2937"/>
        <rFont val="Noto Sans CJK SC"/>
        <family val="2"/>
      </rPr>
      <t>도소매 마진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매입채무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리스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건설 </t>
    </r>
    <r>
      <rPr>
        <sz val="11"/>
        <color rgb="FF1F2937"/>
        <rFont val="맑은 고딕"/>
        <family val="3"/>
        <charset val="129"/>
      </rPr>
      <t xml:space="preserve">PF </t>
    </r>
    <r>
      <rPr>
        <sz val="11"/>
        <color rgb="FF1F2937"/>
        <rFont val="Noto Sans CJK SC"/>
        <family val="2"/>
      </rPr>
      <t>만기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임대 차입만기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금리</t>
    </r>
    <r>
      <rPr>
        <sz val="11"/>
        <color rgb="FF1F2937"/>
        <rFont val="맑은 고딕"/>
        <family val="3"/>
        <charset val="129"/>
      </rPr>
      <t xml:space="preserve">/EBITDA </t>
    </r>
    <r>
      <rPr>
        <sz val="11"/>
        <color rgb="FF1F2937"/>
        <rFont val="Noto Sans CJK SC"/>
        <family val="2"/>
      </rPr>
      <t>커버</t>
    </r>
    <r>
      <rPr>
        <sz val="11"/>
        <color rgb="FF1F2937"/>
        <rFont val="맑은 고딕"/>
        <family val="3"/>
        <charset val="129"/>
      </rPr>
      <t xml:space="preserve">/LTV </t>
    </r>
    <r>
      <rPr>
        <sz val="11"/>
        <color rgb="FF1F2937"/>
        <rFont val="Noto Sans CJK SC"/>
        <family val="2"/>
      </rPr>
      <t>성격 비율을 업종 기준에 맞게 표시한다</t>
    </r>
    <r>
      <rPr>
        <sz val="11"/>
        <color rgb="FF1F2937"/>
        <rFont val="맑은 고딕"/>
        <family val="3"/>
        <charset val="129"/>
      </rPr>
      <t>. 3</t>
    </r>
    <r>
      <rPr>
        <sz val="11"/>
        <color rgb="FF1F2937"/>
        <rFont val="Noto Sans CJK SC"/>
        <family val="2"/>
      </rPr>
      <t>개년 비교와 구분하고 표본 부족은 비교 보류</t>
    </r>
    <r>
      <rPr>
        <sz val="11"/>
        <color rgb="FF1F2937"/>
        <rFont val="맑은 고딕"/>
        <family val="3"/>
        <charset val="129"/>
      </rPr>
      <t xml:space="preserve">, </t>
    </r>
    <r>
      <rPr>
        <sz val="11"/>
        <color rgb="FF1F2937"/>
        <rFont val="Noto Sans CJK SC"/>
        <family val="2"/>
      </rPr>
      <t>결측은 자료 없음으로 표시한다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색과 텍스트를 병기하고 게이지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레이더는 사용하지 않는다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 xml:space="preserve">최소 표본과 차트 우선순위는 </t>
    </r>
    <r>
      <rPr>
        <sz val="11"/>
        <color rgb="FF1F2937"/>
        <rFont val="맑은 고딕"/>
        <family val="3"/>
        <charset val="129"/>
      </rPr>
      <t>N-U20</t>
    </r>
    <r>
      <rPr>
        <sz val="11"/>
        <color rgb="FF1F2937"/>
        <rFont val="Noto Sans CJK SC"/>
        <family val="2"/>
      </rPr>
      <t>을 따른다</t>
    </r>
    <r>
      <rPr>
        <sz val="11"/>
        <color rgb="FF1F2937"/>
        <rFont val="맑은 고딕"/>
        <family val="3"/>
        <charset val="129"/>
      </rPr>
      <t>.</t>
    </r>
  </si>
  <si>
    <t>N-R11
N-R27
N-R38
N-R39
N-R40
N-R43</t>
  </si>
  <si>
    <t>N-F24
N-F36
N-F37
N-F38
N-F41</t>
  </si>
  <si>
    <t>N-U17
N-U20</t>
  </si>
  <si>
    <t>2.6, 3.1</t>
  </si>
  <si>
    <t>분석 결과와 적용 범위</t>
  </si>
  <si>
    <r>
      <rPr>
        <sz val="11"/>
        <color rgb="FF1F2937"/>
        <rFont val="Noto Sans CJK SC"/>
        <family val="2"/>
      </rPr>
      <t>현금흐름과 이익 차이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차입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운전자본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기존 </t>
    </r>
    <r>
      <rPr>
        <sz val="11"/>
        <color rgb="FF1F2937"/>
        <rFont val="맑은 고딕"/>
        <family val="3"/>
        <charset val="129"/>
      </rPr>
      <t>3</t>
    </r>
    <r>
      <rPr>
        <sz val="11"/>
        <color rgb="FF1F2937"/>
        <rFont val="Noto Sans CJK SC"/>
        <family val="2"/>
      </rPr>
      <t>개년 추세와 비교 분포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표본 한계를 설명한다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 xml:space="preserve">패널 </t>
    </r>
    <r>
      <rPr>
        <sz val="11"/>
        <color rgb="FF1F2937"/>
        <rFont val="맑은 고딕"/>
        <family val="3"/>
        <charset val="129"/>
      </rPr>
      <t>5</t>
    </r>
    <r>
      <rPr>
        <sz val="11"/>
        <color rgb="FF1F2937"/>
        <rFont val="Noto Sans CJK SC"/>
        <family val="2"/>
      </rPr>
      <t>개년 추세는 별도 시각화 기준으로 구분한다</t>
    </r>
    <r>
      <rPr>
        <sz val="11"/>
        <color rgb="FF1F2937"/>
        <rFont val="맑은 고딕"/>
        <family val="3"/>
        <charset val="129"/>
      </rPr>
      <t>.</t>
    </r>
  </si>
  <si>
    <t>N-R09
N-R10
N-R34
N-R35
N-R40</t>
  </si>
  <si>
    <t>N-F07
N-F08
N-F32
N-F33
N-F38</t>
  </si>
  <si>
    <t>3.4, 3.6</t>
  </si>
  <si>
    <t>통합 대시보드</t>
  </si>
  <si>
    <r>
      <rPr>
        <sz val="11"/>
        <color rgb="FF1F2937"/>
        <rFont val="Noto Sans CJK SC"/>
        <family val="2"/>
      </rPr>
      <t>계산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확인 항목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메모 연결을 검증한다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규칙 단계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미래 확률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 xml:space="preserve">담당자 체크를 혼동하지 않고 패널 통합 검수는 </t>
    </r>
    <r>
      <rPr>
        <sz val="11"/>
        <color rgb="FF1F2937"/>
        <rFont val="맑은 고딕"/>
        <family val="3"/>
        <charset val="129"/>
      </rPr>
      <t>3.M2</t>
    </r>
    <r>
      <rPr>
        <sz val="11"/>
        <color rgb="FF1F2937"/>
        <rFont val="Noto Sans CJK SC"/>
        <family val="2"/>
      </rPr>
      <t xml:space="preserve">와 </t>
    </r>
    <r>
      <rPr>
        <sz val="11"/>
        <color rgb="FF1F2937"/>
        <rFont val="맑은 고딕"/>
        <family val="3"/>
        <charset val="129"/>
      </rPr>
      <t>5.7</t>
    </r>
    <r>
      <rPr>
        <sz val="11"/>
        <color rgb="FF1F2937"/>
        <rFont val="Noto Sans CJK SC"/>
        <family val="2"/>
      </rPr>
      <t>에 연결한다</t>
    </r>
    <r>
      <rPr>
        <sz val="11"/>
        <color rgb="FF1F2937"/>
        <rFont val="맑은 고딕"/>
        <family val="3"/>
        <charset val="129"/>
      </rPr>
      <t>.</t>
    </r>
  </si>
  <si>
    <t>N-R07
N-R14
N-R24
N-R25
N-R26
N-R27
N-R40</t>
  </si>
  <si>
    <t>N-F05
N-F21
N-F22
N-F23
N-F24
N-F38</t>
  </si>
  <si>
    <r>
      <rPr>
        <sz val="11"/>
        <color rgb="FF1F2937"/>
        <rFont val="Noto Sans CJK SC"/>
        <family val="2"/>
      </rPr>
      <t>서종원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김동민</t>
    </r>
  </si>
  <si>
    <t>3.5, 3.7, 2.4, 3.10, 3.11, 3.12</t>
  </si>
  <si>
    <t>핵심 기능 확인 기록</t>
  </si>
  <si>
    <r>
      <rPr>
        <sz val="11"/>
        <color rgb="FF1F2937"/>
        <rFont val="Noto Sans CJK SC"/>
        <family val="2"/>
      </rPr>
      <t>정량 분석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직접 입력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업종 변경 기록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업종별 패널과 차트의 검수 대상 버전을 고정한다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수치 가설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미정 표본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검증 전 결과를 실제 성과로 표시하지 않는다</t>
    </r>
    <r>
      <rPr>
        <sz val="11"/>
        <color rgb="FF1F2937"/>
        <rFont val="맑은 고딕"/>
        <family val="3"/>
        <charset val="129"/>
      </rPr>
      <t>.</t>
    </r>
  </si>
  <si>
    <t>N-R06
N-R07
N-R28
N-R32
N-R38
N-R39
N-R40</t>
  </si>
  <si>
    <t>N-F04
N-F05
N-F25
N-F30
N-F36
N-F37
N-F38</t>
  </si>
  <si>
    <t>2.3, 2.5</t>
  </si>
  <si>
    <r>
      <rPr>
        <sz val="11"/>
        <color rgb="FF1F2937"/>
        <rFont val="Noto Sans CJK SC"/>
        <family val="2"/>
      </rPr>
      <t>추출 필드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요약 형식</t>
    </r>
  </si>
  <si>
    <r>
      <rPr>
        <sz val="11"/>
        <color rgb="FF1F2937"/>
        <rFont val="Noto Sans CJK SC"/>
        <family val="2"/>
      </rPr>
      <t xml:space="preserve">공통 </t>
    </r>
    <r>
      <rPr>
        <sz val="11"/>
        <color rgb="FF1F2937"/>
        <rFont val="맑은 고딕"/>
        <family val="3"/>
        <charset val="129"/>
      </rPr>
      <t>6</t>
    </r>
    <r>
      <rPr>
        <sz val="11"/>
        <color rgb="FF1F2937"/>
        <rFont val="Noto Sans CJK SC"/>
        <family val="2"/>
      </rPr>
      <t>범주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업종 추가 사전과 유형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방향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금액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통화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상태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기준일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원문 위치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검출 상태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검수 기록을 정의한다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본문 중복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현재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전기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한도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 xml:space="preserve">잔액을 구분하고 코드는 </t>
    </r>
    <r>
      <rPr>
        <sz val="11"/>
        <color rgb="FF1F2937"/>
        <rFont val="맑은 고딕"/>
        <family val="3"/>
        <charset val="129"/>
      </rPr>
      <t xml:space="preserve">N-U04/N-U18 </t>
    </r>
    <r>
      <rPr>
        <sz val="11"/>
        <color rgb="FF1F2937"/>
        <rFont val="Noto Sans CJK SC"/>
        <family val="2"/>
      </rPr>
      <t>합의 후 고정한다</t>
    </r>
    <r>
      <rPr>
        <sz val="11"/>
        <color rgb="FF1F2937"/>
        <rFont val="맑은 고딕"/>
        <family val="3"/>
        <charset val="129"/>
      </rPr>
      <t>.</t>
    </r>
  </si>
  <si>
    <t>N-R11
N-R12
N-R13
N-R14
N-R41
N-R42
N-R43</t>
  </si>
  <si>
    <t>N-F09
N-F10
N-F11
N-F39
N-F40
N-F41</t>
  </si>
  <si>
    <t>N-U04
N-U07
N-U18</t>
  </si>
  <si>
    <r>
      <rPr>
        <sz val="11"/>
        <color rgb="FF1F2937"/>
        <rFont val="Noto Sans CJK SC"/>
        <family val="2"/>
      </rPr>
      <t>주석 추출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요약 결과</t>
    </r>
  </si>
  <si>
    <r>
      <rPr>
        <sz val="11"/>
        <color rgb="FF1F2937"/>
        <rFont val="Noto Sans CJK SC"/>
        <family val="2"/>
      </rPr>
      <t>공통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업종 규칙으로 얻은 구조화 주석을 근거 요약과 모델 입력에 공통 재사용한다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일반 담보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대출약정을 자동으로 우발부채로 판정하지 않고</t>
    </r>
    <r>
      <rPr>
        <sz val="11"/>
        <color rgb="FF1F2937"/>
        <rFont val="맑은 고딕"/>
        <family val="3"/>
        <charset val="129"/>
      </rPr>
      <t xml:space="preserve">, </t>
    </r>
    <r>
      <rPr>
        <sz val="11"/>
        <color rgb="FF1F2937"/>
        <rFont val="Noto Sans CJK SC"/>
        <family val="2"/>
      </rPr>
      <t>검출 상태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금액 미기재를 </t>
    </r>
    <r>
      <rPr>
        <sz val="11"/>
        <color rgb="FF1F2937"/>
        <rFont val="맑은 고딕"/>
        <family val="3"/>
        <charset val="129"/>
      </rPr>
      <t>0/</t>
    </r>
    <r>
      <rPr>
        <sz val="11"/>
        <color rgb="FF1F2937"/>
        <rFont val="Noto Sans CJK SC"/>
        <family val="2"/>
      </rPr>
      <t>정상으로 바꾸지 않는다</t>
    </r>
    <r>
      <rPr>
        <sz val="11"/>
        <color rgb="FF1F2937"/>
        <rFont val="맑은 고딕"/>
        <family val="3"/>
        <charset val="129"/>
      </rPr>
      <t>.</t>
    </r>
  </si>
  <si>
    <t>N-R11
N-R12
N-R13
N-R19
N-R41
N-R42
N-R43</t>
  </si>
  <si>
    <t>N-F09
N-F10
N-F11
N-F15
N-F39
N-F40
N-F41</t>
  </si>
  <si>
    <t>4.1, 2.11</t>
  </si>
  <si>
    <r>
      <rPr>
        <sz val="11"/>
        <color rgb="FF1F2937"/>
        <rFont val="Noto Sans CJK SC"/>
        <family val="2"/>
      </rPr>
      <t>공통 검색어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추출 범위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저장 필드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버전</t>
    </r>
  </si>
  <si>
    <r>
      <rPr>
        <sz val="11"/>
        <color rgb="FF1F2937"/>
        <rFont val="Noto Sans CJK SC"/>
        <family val="2"/>
      </rPr>
      <t>감사의견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계속기업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차입 만기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재무약정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신용등급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담보 제공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소송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제재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부외거래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 xml:space="preserve">후속사건 </t>
    </r>
    <r>
      <rPr>
        <sz val="11"/>
        <color rgb="FF1F2937"/>
        <rFont val="맑은 고딕"/>
        <family val="3"/>
        <charset val="129"/>
      </rPr>
      <t>6</t>
    </r>
    <r>
      <rPr>
        <sz val="11"/>
        <color rgb="FF1F2937"/>
        <rFont val="Noto Sans CJK SC"/>
        <family val="2"/>
      </rPr>
      <t>항목을 추출한다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제목부터 다음 주석 번호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소제목 전까지 저장하고 다른 장 참조는 해당 위치를 다시 추출한다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보증 제공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수취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원고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피고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현재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전기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한도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잔액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본문 중복과 교차참조를 구분한다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일반 담보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대출을 자동 우발부채로 단정하지 않는다</t>
    </r>
    <r>
      <rPr>
        <sz val="11"/>
        <color rgb="FF1F2937"/>
        <rFont val="맑은 고딕"/>
        <family val="3"/>
        <charset val="129"/>
      </rPr>
      <t>.</t>
    </r>
  </si>
  <si>
    <t>N-R03
N-R11
N-R41
N-R43</t>
  </si>
  <si>
    <t>N-F02
N-F09
N-F39
N-F41</t>
  </si>
  <si>
    <t>N-U04
N-U18</t>
  </si>
  <si>
    <t>뉴스 후보와 수집 조건</t>
  </si>
  <si>
    <r>
      <rPr>
        <sz val="11"/>
        <color rgb="FF1F2937"/>
        <rFont val="Noto Sans CJK SC"/>
        <family val="2"/>
      </rPr>
      <t>기업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기간 식별과 매체 활용 조건 확인</t>
    </r>
  </si>
  <si>
    <t>N-R15</t>
  </si>
  <si>
    <t>N-F12</t>
  </si>
  <si>
    <t>N-U07</t>
  </si>
  <si>
    <t>주석 요약 검증 결과</t>
  </si>
  <si>
    <r>
      <rPr>
        <sz val="11"/>
        <color rgb="FF1F2937"/>
        <rFont val="Noto Sans CJK SC"/>
        <family val="2"/>
      </rPr>
      <t>정답지 대비 추출 정밀도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재현율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단위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부정 표현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방향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중복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원문 일치를 확인한다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근거 없는 요약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미검출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추출 실패를 구분하고 검증된 필드만 모델 입력 후보로 넘긴다</t>
    </r>
    <r>
      <rPr>
        <sz val="11"/>
        <color rgb="FF1F2937"/>
        <rFont val="맑은 고딕"/>
        <family val="3"/>
        <charset val="129"/>
      </rPr>
      <t>.</t>
    </r>
  </si>
  <si>
    <t>N-R11
N-R12
N-R13
N-R28
N-R41
N-R42
N-R43</t>
  </si>
  <si>
    <t>N-F10
N-F11
N-F25
N-F39
N-F40
N-F41</t>
  </si>
  <si>
    <t>N-U04
N-U09
N-U18
N-U19</t>
  </si>
  <si>
    <r>
      <rPr>
        <sz val="11"/>
        <color rgb="FF1F2937"/>
        <rFont val="Noto Sans CJK SC"/>
        <family val="2"/>
      </rPr>
      <t>김동민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오준탁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최수인</t>
    </r>
  </si>
  <si>
    <r>
      <rPr>
        <sz val="11"/>
        <color rgb="FF1F2937"/>
        <rFont val="Noto Sans CJK SC"/>
        <family val="2"/>
      </rPr>
      <t>업종별 사전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추출 필드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원문 근거</t>
    </r>
  </si>
  <si>
    <r>
      <rPr>
        <sz val="11"/>
        <color rgb="FF1F2937"/>
        <rFont val="Noto Sans CJK SC"/>
        <family val="2"/>
      </rPr>
      <t>제조 재고평가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손상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개발비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공급자금융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가동률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도소매 리스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매입처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점포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건설 </t>
    </r>
    <r>
      <rPr>
        <sz val="11"/>
        <color rgb="FF1F2937"/>
        <rFont val="맑은 고딕"/>
        <family val="3"/>
        <charset val="129"/>
      </rPr>
      <t>PF/</t>
    </r>
    <r>
      <rPr>
        <sz val="11"/>
        <color rgb="FF1F2937"/>
        <rFont val="Noto Sans CJK SC"/>
        <family val="2"/>
      </rPr>
      <t>계약자산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공사원가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분양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임대 차입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투자부동산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임대율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보증금 추가 규칙을 반영한다</t>
    </r>
    <r>
      <rPr>
        <sz val="11"/>
        <color rgb="FF1F2937"/>
        <rFont val="맑은 고딕"/>
        <family val="3"/>
        <charset val="129"/>
      </rPr>
      <t xml:space="preserve">. PF </t>
    </r>
    <r>
      <rPr>
        <sz val="11"/>
        <color rgb="FF1F2937"/>
        <rFont val="Noto Sans CJK SC"/>
        <family val="2"/>
      </rPr>
      <t>보증한도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금액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잔액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만기와 총괄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하위 표 중복을 구분한다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장비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물품 렌탈은 제외하고 인용 추출 표본의 미검출 항목은 검수 대상으로 남긴다</t>
    </r>
    <r>
      <rPr>
        <sz val="11"/>
        <color rgb="FF1F2937"/>
        <rFont val="맑은 고딕"/>
        <family val="3"/>
        <charset val="129"/>
      </rPr>
      <t>.</t>
    </r>
  </si>
  <si>
    <t>N-R11
N-R28
N-R42
N-R43</t>
  </si>
  <si>
    <t>N-F09
N-F25
N-F40
N-F41</t>
  </si>
  <si>
    <t>N-U18
N-U19</t>
  </si>
  <si>
    <r>
      <rPr>
        <sz val="11"/>
        <color rgb="FF1F2937"/>
        <rFont val="Noto Sans CJK SC"/>
        <family val="2"/>
      </rPr>
      <t>관련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비관련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누락 기사 목록</t>
    </r>
  </si>
  <si>
    <r>
      <rPr>
        <sz val="11"/>
        <color rgb="FF1F2937"/>
        <rFont val="Noto Sans CJK SC"/>
        <family val="2"/>
      </rPr>
      <t>동명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단순 언급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중복 제거와 중요 기사 누락 점검</t>
    </r>
  </si>
  <si>
    <t>N-U07
N-U09</t>
  </si>
  <si>
    <t>4.2, 4.5</t>
  </si>
  <si>
    <t>근거 연결과 대안 화면</t>
  </si>
  <si>
    <r>
      <rPr>
        <sz val="11"/>
        <color rgb="FF1F2937"/>
        <rFont val="Noto Sans CJK SC"/>
        <family val="2"/>
      </rPr>
      <t>주석 요약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기준일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검출 상태와 추가 확인 안내를 연결한다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미검출은 부재로 표시하지 않으며 추출 실패와 공시상 명시적 없음을 구분한다</t>
    </r>
    <r>
      <rPr>
        <sz val="11"/>
        <color rgb="FF1F2937"/>
        <rFont val="맑은 고딕"/>
        <family val="3"/>
        <charset val="129"/>
      </rPr>
      <t>.</t>
    </r>
  </si>
  <si>
    <t>N-R13
N-R14
N-R27
N-R43</t>
  </si>
  <si>
    <t>N-F11
N-F24
N-F41</t>
  </si>
  <si>
    <t>N-U04
N-U08</t>
  </si>
  <si>
    <r>
      <rPr>
        <sz val="11"/>
        <color rgb="FF1F2937"/>
        <rFont val="Noto Sans CJK SC"/>
        <family val="2"/>
      </rPr>
      <t>김동혁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김동민</t>
    </r>
  </si>
  <si>
    <t>4.9, 4.5</t>
  </si>
  <si>
    <r>
      <rPr>
        <sz val="11"/>
        <color rgb="FF1F2937"/>
        <rFont val="Noto Sans CJK SC"/>
        <family val="2"/>
      </rPr>
      <t>항목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업종별 추출 평가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원인별 보완 기록</t>
    </r>
  </si>
  <si>
    <r>
      <rPr>
        <sz val="11"/>
        <color rgb="FF1F2937"/>
        <rFont val="Noto Sans CJK SC"/>
        <family val="2"/>
      </rPr>
      <t>원문 정답지와 대조하여 정밀도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재현율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규칙 누락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공시 없음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형식 차이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오탐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중복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방향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단위 오류를 기록한다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제조 담보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도소매 점포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건설 분양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미분양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임대 후속사건 등 미검출을 재점검하고 합격 목표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 xml:space="preserve">수용은 </t>
    </r>
    <r>
      <rPr>
        <sz val="11"/>
        <color rgb="FF1F2937"/>
        <rFont val="맑은 고딕"/>
        <family val="3"/>
        <charset val="129"/>
      </rPr>
      <t xml:space="preserve">N-U09/N-U19 </t>
    </r>
    <r>
      <rPr>
        <sz val="11"/>
        <color rgb="FF1F2937"/>
        <rFont val="Noto Sans CJK SC"/>
        <family val="2"/>
      </rPr>
      <t>합의 전 확정하지 않는다</t>
    </r>
    <r>
      <rPr>
        <sz val="11"/>
        <color rgb="FF1F2937"/>
        <rFont val="맑은 고딕"/>
        <family val="3"/>
        <charset val="129"/>
      </rPr>
      <t>.</t>
    </r>
  </si>
  <si>
    <t>N-R12
N-R28
N-R41
N-R42
N-R43</t>
  </si>
  <si>
    <t>N-F10
N-F25
N-F39
N-F40
N-F41</t>
  </si>
  <si>
    <t>N-U09
N-U18
N-U19</t>
  </si>
  <si>
    <r>
      <rPr>
        <sz val="11"/>
        <color rgb="FF1F2937"/>
        <rFont val="Noto Sans CJK SC"/>
        <family val="2"/>
      </rPr>
      <t>뉴스 요약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출처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링크 화면</t>
    </r>
  </si>
  <si>
    <r>
      <rPr>
        <sz val="11"/>
        <color rgb="FF1F2937"/>
        <rFont val="Noto Sans CJK SC"/>
        <family val="2"/>
      </rPr>
      <t>관련성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시점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중복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중요 기사 누락 점검 결과 반영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품질 부족 시 원문 링크로 제공</t>
    </r>
  </si>
  <si>
    <t>N-R15
N-R27</t>
  </si>
  <si>
    <t>N-F12
N-F24</t>
  </si>
  <si>
    <r>
      <rPr>
        <sz val="11"/>
        <color rgb="FF1F2937"/>
        <rFont val="Noto Sans CJK SC"/>
        <family val="2"/>
      </rPr>
      <t>오준탁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최수인</t>
    </r>
  </si>
  <si>
    <t>4.5, 4.6, 4.10</t>
  </si>
  <si>
    <r>
      <rPr>
        <sz val="11"/>
        <color rgb="FF1F2937"/>
        <rFont val="Noto Sans CJK SC"/>
        <family val="2"/>
      </rPr>
      <t>주석 검증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제공 형식 기록</t>
    </r>
  </si>
  <si>
    <r>
      <rPr>
        <sz val="11"/>
        <color rgb="FF1F2937"/>
        <rFont val="Noto Sans CJK SC"/>
        <family val="2"/>
      </rPr>
      <t>공통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업종 추출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원문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상태 저장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미검출 원인 검수와 추가 확인 안내 제공 형식을 고정한다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뉴스는 보완으로 분리하고 추출 품질 미달을 완료로 표시하지 않는다</t>
    </r>
    <r>
      <rPr>
        <sz val="11"/>
        <color rgb="FF1F2937"/>
        <rFont val="맑은 고딕"/>
        <family val="3"/>
        <charset val="129"/>
      </rPr>
      <t>.</t>
    </r>
  </si>
  <si>
    <t>N-F09
N-F10
N-F11
N-F25
N-F39
N-F40
N-F41</t>
  </si>
  <si>
    <t>2.4, 2.9</t>
  </si>
  <si>
    <r>
      <rPr>
        <sz val="11"/>
        <color rgb="FF1F2937"/>
        <rFont val="Noto Sans CJK SC"/>
        <family val="2"/>
      </rPr>
      <t>재무 기준 모델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학습 기록</t>
    </r>
  </si>
  <si>
    <r>
      <rPr>
        <sz val="11"/>
        <color rgb="FF1F2937"/>
        <rFont val="Noto Sans CJK SC"/>
        <family val="2"/>
      </rPr>
      <t>수익성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유동성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부채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현금흐름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변동 지표로 재무 기준 로지스틱 회귀 모델을 학습한다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전처리는 학습 구간에서만 수행하고 위험 사건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비발생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추적 미완료를 구분한다</t>
    </r>
    <r>
      <rPr>
        <sz val="11"/>
        <color rgb="FF1F2937"/>
        <rFont val="맑은 고딕"/>
        <family val="3"/>
        <charset val="129"/>
      </rPr>
      <t>.</t>
    </r>
  </si>
  <si>
    <t>N-R16
N-R18
N-R20
N-R21</t>
  </si>
  <si>
    <t>N-F14
N-F16
N-F17</t>
  </si>
  <si>
    <t>N-U01
N-U03
N-U05</t>
  </si>
  <si>
    <t>4.2, 2.9, 4.9</t>
  </si>
  <si>
    <r>
      <rPr>
        <sz val="11"/>
        <color rgb="FF1F2937"/>
        <rFont val="Noto Sans CJK SC"/>
        <family val="2"/>
      </rPr>
      <t>주석 변수 사전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특징 데이터</t>
    </r>
  </si>
  <si>
    <r>
      <rPr>
        <sz val="11"/>
        <color rgb="FF1F2937"/>
        <rFont val="Noto Sans CJK SC"/>
        <family val="2"/>
      </rPr>
      <t>금액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총자산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유형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소송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보증 방향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담보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한도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잔액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변화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결측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검출 상태를 특징 후보로 구성한다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원문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공개시점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낮은 확보율 변수 제외 근거를 기록하고 뉴스</t>
    </r>
    <r>
      <rPr>
        <sz val="11"/>
        <color rgb="FF1F2937"/>
        <rFont val="맑은 고딕"/>
        <family val="3"/>
        <charset val="129"/>
      </rPr>
      <t xml:space="preserve">/LLM </t>
    </r>
    <r>
      <rPr>
        <sz val="11"/>
        <color rgb="FF1F2937"/>
        <rFont val="Noto Sans CJK SC"/>
        <family val="2"/>
      </rPr>
      <t>임의 확률은 초기 입력에서 제외한다</t>
    </r>
    <r>
      <rPr>
        <sz val="11"/>
        <color rgb="FF1F2937"/>
        <rFont val="맑은 고딕"/>
        <family val="3"/>
        <charset val="129"/>
      </rPr>
      <t>.</t>
    </r>
  </si>
  <si>
    <t>N-R19
N-R33
N-R34
N-R35
N-R37
N-R41
N-R42
N-R43</t>
  </si>
  <si>
    <t>N-F15
N-F31
N-F32
N-F33
N-F35
N-F39
N-F40
N-F41</t>
  </si>
  <si>
    <t>N-U04
N-U05
N-U18</t>
  </si>
  <si>
    <t>7.1, 7.3, 4.5</t>
  </si>
  <si>
    <r>
      <rPr>
        <sz val="11"/>
        <color rgb="FF1F2937"/>
        <rFont val="Noto Sans CJK SC"/>
        <family val="2"/>
      </rPr>
      <t>결합 모델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재현 가능한 학습 코드</t>
    </r>
  </si>
  <si>
    <r>
      <rPr>
        <sz val="11"/>
        <color rgb="FF1F2937"/>
        <rFont val="Noto Sans CJK SC"/>
        <family val="2"/>
      </rPr>
      <t xml:space="preserve">향후 </t>
    </r>
    <r>
      <rPr>
        <sz val="11"/>
        <color rgb="FF1F2937"/>
        <rFont val="맑은 고딕"/>
        <family val="3"/>
        <charset val="129"/>
      </rPr>
      <t>12</t>
    </r>
    <r>
      <rPr>
        <sz val="11"/>
        <color rgb="FF1F2937"/>
        <rFont val="Noto Sans CJK SC"/>
        <family val="2"/>
      </rPr>
      <t>개월 복합 위험 사건 발생을 목표로 기준 모델과 동일 기업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학습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평가 표본을 사용한다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검증 주석만 추가하고 모델 종류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결측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 xml:space="preserve">불균형 처리는 </t>
    </r>
    <r>
      <rPr>
        <sz val="11"/>
        <color rgb="FF1F2937"/>
        <rFont val="맑은 고딕"/>
        <family val="3"/>
        <charset val="129"/>
      </rPr>
      <t xml:space="preserve">N-U05 </t>
    </r>
    <r>
      <rPr>
        <sz val="11"/>
        <color rgb="FF1F2937"/>
        <rFont val="Noto Sans CJK SC"/>
        <family val="2"/>
      </rPr>
      <t>합의 후 기록한다</t>
    </r>
    <r>
      <rPr>
        <sz val="11"/>
        <color rgb="FF1F2937"/>
        <rFont val="맑은 고딕"/>
        <family val="3"/>
        <charset val="129"/>
      </rPr>
      <t>.</t>
    </r>
  </si>
  <si>
    <t>N-R16
N-R19
N-R20
N-R21</t>
  </si>
  <si>
    <t>N-F16
N-F18</t>
  </si>
  <si>
    <t>N-U01
N-U03
N-U04
N-U05</t>
  </si>
  <si>
    <r>
      <rPr>
        <sz val="11"/>
        <color rgb="FF1F2937"/>
        <rFont val="Noto Sans CJK SC"/>
        <family val="2"/>
      </rPr>
      <t>모델 비교표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확률 보정 결과</t>
    </r>
  </si>
  <si>
    <r>
      <rPr>
        <sz val="11"/>
        <color rgb="FF1F2937"/>
        <rFont val="Noto Sans CJK SC"/>
        <family val="2"/>
      </rPr>
      <t>동일 평가 표본의 기준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 xml:space="preserve">결합 모델을 </t>
    </r>
    <r>
      <rPr>
        <sz val="11"/>
        <color rgb="FF1F2937"/>
        <rFont val="맑은 고딕"/>
        <family val="3"/>
        <charset val="129"/>
      </rPr>
      <t>PR-AUC·</t>
    </r>
    <r>
      <rPr>
        <sz val="11"/>
        <color rgb="FF1F2937"/>
        <rFont val="Noto Sans CJK SC"/>
        <family val="2"/>
      </rPr>
      <t>정밀도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재현율</t>
    </r>
    <r>
      <rPr>
        <sz val="11"/>
        <color rgb="FF1F2937"/>
        <rFont val="맑은 고딕"/>
        <family val="3"/>
        <charset val="129"/>
      </rPr>
      <t>·Brier·</t>
    </r>
    <r>
      <rPr>
        <sz val="11"/>
        <color rgb="FF1F2937"/>
        <rFont val="Noto Sans CJK SC"/>
        <family val="2"/>
      </rPr>
      <t>확률 보정으로 비교한다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자연 위험 사건 비율을 유지하고 결과 확정 시점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기업 분리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업종별 표본 한계를 공개한다</t>
    </r>
    <r>
      <rPr>
        <sz val="11"/>
        <color rgb="FF1F2937"/>
        <rFont val="맑은 고딕"/>
        <family val="3"/>
        <charset val="129"/>
      </rPr>
      <t>.</t>
    </r>
  </si>
  <si>
    <t>N-R20
N-R21
N-R22
N-R28</t>
  </si>
  <si>
    <t>N-F16
N-F17
N-F18
N-F19
N-F25</t>
  </si>
  <si>
    <t>N-U03
N-U05
N-U09</t>
  </si>
  <si>
    <r>
      <rPr>
        <sz val="11"/>
        <color rgb="FF1F2937"/>
        <rFont val="Noto Sans CJK SC"/>
        <family val="2"/>
      </rPr>
      <t xml:space="preserve">예측 </t>
    </r>
    <r>
      <rPr>
        <sz val="11"/>
        <color rgb="FF1F2937"/>
        <rFont val="맑은 고딕"/>
        <family val="3"/>
        <charset val="129"/>
      </rPr>
      <t>API·</t>
    </r>
    <r>
      <rPr>
        <sz val="11"/>
        <color rgb="FF1F2937"/>
        <rFont val="Noto Sans CJK SC"/>
        <family val="2"/>
      </rPr>
      <t>확률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근거 화면</t>
    </r>
  </si>
  <si>
    <r>
      <rPr>
        <sz val="11"/>
        <color rgb="FF1F2937"/>
        <rFont val="맑은 고딕"/>
        <family val="3"/>
        <charset val="129"/>
      </rPr>
      <t>12</t>
    </r>
    <r>
      <rPr>
        <sz val="11"/>
        <color rgb="FF1F2937"/>
        <rFont val="Noto Sans CJK SC"/>
        <family val="2"/>
      </rPr>
      <t>개월 위험 사건 확률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기준일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모델 버전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입력 지표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주석 원문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검증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보류 상태를 표시한다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규칙 단계와 다른 결과로 표시하고 학습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검증 전 임의 확률을 실제 결과로 제시하지 않는다</t>
    </r>
    <r>
      <rPr>
        <sz val="11"/>
        <color rgb="FF1F2937"/>
        <rFont val="맑은 고딕"/>
        <family val="3"/>
        <charset val="129"/>
      </rPr>
      <t>.</t>
    </r>
  </si>
  <si>
    <t>N-R16
N-R23
N-R27
N-R39</t>
  </si>
  <si>
    <t>N-F20
N-F24
N-F37</t>
  </si>
  <si>
    <t>N-U05
N-U08
N-U17</t>
  </si>
  <si>
    <t>7.6, 3.4, 4.6</t>
  </si>
  <si>
    <t>예측 근거 포함 기록 초안</t>
  </si>
  <si>
    <r>
      <rPr>
        <sz val="11"/>
        <color rgb="FF1F2937"/>
        <rFont val="Noto Sans CJK SC"/>
        <family val="2"/>
      </rPr>
      <t>수치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주석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규칙 단계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예측 확률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추가 내부 확인을 구분하여 복사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수정한다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예측 설명을 인과관계나 자동 승인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거절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내부 등급 결정으로 표현하지 않는다</t>
    </r>
    <r>
      <rPr>
        <sz val="11"/>
        <color rgb="FF1F2937"/>
        <rFont val="맑은 고딕"/>
        <family val="3"/>
        <charset val="129"/>
      </rPr>
      <t>.</t>
    </r>
  </si>
  <si>
    <t>N-R14
N-R23
N-R24
N-R26
N-R27
N-R39
N-R43</t>
  </si>
  <si>
    <t>N-F20
N-F21
N-F23
N-F24
N-F37
N-F41</t>
  </si>
  <si>
    <t>모델 검증 보고서</t>
  </si>
  <si>
    <r>
      <rPr>
        <sz val="11"/>
        <color rgb="FF1F2937"/>
        <rFont val="Noto Sans CJK SC"/>
        <family val="2"/>
      </rPr>
      <t>미래 공시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정정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사건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 xml:space="preserve">기업 반복 관측의 누출과 </t>
    </r>
    <r>
      <rPr>
        <sz val="11"/>
        <color rgb="FF1F2937"/>
        <rFont val="맑은 고딕"/>
        <family val="3"/>
        <charset val="129"/>
      </rPr>
      <t>12</t>
    </r>
    <r>
      <rPr>
        <sz val="11"/>
        <color rgb="FF1F2937"/>
        <rFont val="Noto Sans CJK SC"/>
        <family val="2"/>
      </rPr>
      <t>개월 추적 창을 점검한다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감사의견을 특징과 사건에 쓰는 시점을 명시하고 성능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보정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업종별 한계 및 표시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보류 관문을 보고한다</t>
    </r>
    <r>
      <rPr>
        <sz val="11"/>
        <color rgb="FF1F2937"/>
        <rFont val="맑은 고딕"/>
        <family val="3"/>
        <charset val="129"/>
      </rPr>
      <t>.</t>
    </r>
  </si>
  <si>
    <t>N-R17
N-R18
N-R20
N-R22
N-R23
N-R28</t>
  </si>
  <si>
    <t>N-F13
N-F14
N-F16
N-F19
N-F20
N-F25</t>
  </si>
  <si>
    <t>N-U01
N-U03
N-U05
N-U09</t>
  </si>
  <si>
    <r>
      <rPr>
        <sz val="11"/>
        <color rgb="FF1F2937"/>
        <rFont val="Noto Sans CJK SC"/>
        <family val="2"/>
      </rPr>
      <t>김동민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서종원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최수인</t>
    </r>
  </si>
  <si>
    <t>7.2, 7.7</t>
  </si>
  <si>
    <r>
      <rPr>
        <sz val="11"/>
        <color rgb="FF1F2937"/>
        <rFont val="Noto Sans CJK SC"/>
        <family val="2"/>
      </rPr>
      <t>검증 모델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연동 기준 버전</t>
    </r>
  </si>
  <si>
    <r>
      <rPr>
        <sz val="11"/>
        <color rgb="FF1F2937"/>
        <rFont val="Noto Sans CJK SC"/>
        <family val="2"/>
      </rPr>
      <t>라벨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학습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평가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기준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결합 모델 비교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보정과 버전을 고정한다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예측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원문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기록 연동과 표시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보류 조건을 통합 검증에 인계하며 미정 수용 기준은 미정으로 남긴다</t>
    </r>
    <r>
      <rPr>
        <sz val="11"/>
        <color rgb="FF1F2937"/>
        <rFont val="맑은 고딕"/>
        <family val="3"/>
        <charset val="129"/>
      </rPr>
      <t>.</t>
    </r>
  </si>
  <si>
    <t>N-R16
N-R20
N-R21
N-R22
N-R23
N-R28</t>
  </si>
  <si>
    <t>N-F16
N-F17
N-F18
N-F19
N-F20
N-F25</t>
  </si>
  <si>
    <t>N-U05
N-U09</t>
  </si>
  <si>
    <t>3.M2, 4.M3, 7.6</t>
  </si>
  <si>
    <t>시연 주소와 운영 점검</t>
  </si>
  <si>
    <r>
      <rPr>
        <sz val="11"/>
        <color rgb="FF1F2937"/>
        <rFont val="맑은 고딕"/>
        <family val="3"/>
        <charset val="129"/>
      </rPr>
      <t xml:space="preserve">API </t>
    </r>
    <r>
      <rPr>
        <sz val="11"/>
        <color rgb="FF1F2937"/>
        <rFont val="Noto Sans CJK SC"/>
        <family val="2"/>
      </rPr>
      <t>키 비노출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접근 제어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요청 제한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캐시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재시도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오류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검증 전 상태를 확인한다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은행 내부자료를 수집하지 않으며 실제 배포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접속 확인과 배포 계획을 구분한다</t>
    </r>
    <r>
      <rPr>
        <sz val="11"/>
        <color rgb="FF1F2937"/>
        <rFont val="맑은 고딕"/>
        <family val="3"/>
        <charset val="129"/>
      </rPr>
      <t>.</t>
    </r>
  </si>
  <si>
    <t>N-R14
N-R27
N-R30</t>
  </si>
  <si>
    <t>N-F24
N-F27</t>
  </si>
  <si>
    <t>N-U07
N-U08</t>
  </si>
  <si>
    <t>3.M2, 4.M3, 7.M7</t>
  </si>
  <si>
    <t>기업별 검증 결과</t>
  </si>
  <si>
    <r>
      <rPr>
        <sz val="11"/>
        <color rgb="FF1F2937"/>
        <rFont val="맑은 고딕"/>
        <family val="3"/>
        <charset val="129"/>
      </rPr>
      <t xml:space="preserve">N-U02 </t>
    </r>
    <r>
      <rPr>
        <sz val="11"/>
        <color rgb="FF1F2937"/>
        <rFont val="Noto Sans CJK SC"/>
        <family val="2"/>
      </rPr>
      <t>합의 표본</t>
    </r>
    <r>
      <rPr>
        <sz val="11"/>
        <color rgb="FF1F2937"/>
        <rFont val="맑은 고딕"/>
        <family val="3"/>
        <charset val="129"/>
      </rPr>
      <t>(</t>
    </r>
    <r>
      <rPr>
        <sz val="11"/>
        <color rgb="FF1F2937"/>
        <rFont val="Noto Sans CJK SC"/>
        <family val="2"/>
      </rPr>
      <t xml:space="preserve">기존 </t>
    </r>
    <r>
      <rPr>
        <sz val="11"/>
        <color rgb="FF1F2937"/>
        <rFont val="맑은 고딕"/>
        <family val="3"/>
        <charset val="129"/>
      </rPr>
      <t>15</t>
    </r>
    <r>
      <rPr>
        <sz val="11"/>
        <color rgb="FF1F2937"/>
        <rFont val="Noto Sans CJK SC"/>
        <family val="2"/>
      </rPr>
      <t>곳은 논의 필요</t>
    </r>
    <r>
      <rPr>
        <sz val="11"/>
        <color rgb="FF1F2937"/>
        <rFont val="맑은 고딕"/>
        <family val="3"/>
        <charset val="129"/>
      </rPr>
      <t>)</t>
    </r>
    <r>
      <rPr>
        <sz val="11"/>
        <color rgb="FF1F2937"/>
        <rFont val="Noto Sans CJK SC"/>
        <family val="2"/>
      </rPr>
      <t>에서 수치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분해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결측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주석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패널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예측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원문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버전 연결을 검증한다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정답지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추출 표본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모델 학습 수와 혼동하지 않고 결과를 기록한다</t>
    </r>
    <r>
      <rPr>
        <sz val="11"/>
        <color rgb="FF1F2937"/>
        <rFont val="맑은 고딕"/>
        <family val="3"/>
        <charset val="129"/>
      </rPr>
      <t>.</t>
    </r>
  </si>
  <si>
    <t>N-R28
N-R33
N-R34
N-R35
N-R37
N-R38
N-R39
N-R40
N-R41
N-R42
N-R43</t>
  </si>
  <si>
    <t>N-F25
N-F31
N-F32
N-F33
N-F35
N-F36
N-F37
N-F38
N-F39
N-F40
N-F41</t>
  </si>
  <si>
    <t>N-U02
N-U09
N-U19
N-U20</t>
  </si>
  <si>
    <t>현직자 의견과 개선 목록</t>
  </si>
  <si>
    <r>
      <rPr>
        <sz val="11"/>
        <color rgb="FF1F2937"/>
        <rFont val="맑은 고딕"/>
        <family val="3"/>
        <charset val="129"/>
      </rPr>
      <t>6</t>
    </r>
    <r>
      <rPr>
        <sz val="11"/>
        <color rgb="FF1F2937"/>
        <rFont val="Noto Sans CJK SC"/>
        <family val="2"/>
      </rPr>
      <t>개 판단 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지표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징후 단계 가설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주석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예측 근거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추가 내부 확인의 유용성과 현직자 의견을 기록한다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건전성 분류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내부 등급으로 오해되는 표현을 점검하고 확인되지 않은 수치를 확정하지 않는다</t>
    </r>
    <r>
      <rPr>
        <sz val="11"/>
        <color rgb="FF1F2937"/>
        <rFont val="맑은 고딕"/>
        <family val="3"/>
        <charset val="129"/>
      </rPr>
      <t>.</t>
    </r>
  </si>
  <si>
    <t>N-R14
N-R24
N-R29
N-R36
N-R38
N-R39
N-R40</t>
  </si>
  <si>
    <t>N-F21
N-F26
N-F34
N-F36
N-F37
N-F38</t>
  </si>
  <si>
    <t>N-U06
N-U09
N-U12
N-U17
N-U20</t>
  </si>
  <si>
    <r>
      <rPr>
        <sz val="11"/>
        <color rgb="FF1F2937"/>
        <rFont val="Noto Sans CJK SC"/>
        <family val="2"/>
      </rPr>
      <t>서종원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김동민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오준탁</t>
    </r>
  </si>
  <si>
    <r>
      <rPr>
        <sz val="11"/>
        <color rgb="FF1F2937"/>
        <rFont val="Noto Sans CJK SC"/>
        <family val="2"/>
      </rPr>
      <t>규칙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확률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체크 분리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패널 시나리오 결과</t>
    </r>
  </si>
  <si>
    <r>
      <rPr>
        <sz val="11"/>
        <color rgb="FF1F2937"/>
        <rFont val="맑은 고딕"/>
        <family val="3"/>
        <charset val="129"/>
      </rPr>
      <t>4</t>
    </r>
    <r>
      <rPr>
        <sz val="11"/>
        <color rgb="FF1F2937"/>
        <rFont val="Noto Sans CJK SC"/>
        <family val="2"/>
      </rPr>
      <t>개 업종의 원문→검출 상태→지표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단계→</t>
    </r>
    <r>
      <rPr>
        <sz val="11"/>
        <color rgb="FF1F2937"/>
        <rFont val="맑은 고딕"/>
        <family val="3"/>
        <charset val="129"/>
      </rPr>
      <t xml:space="preserve">N-S04 </t>
    </r>
    <r>
      <rPr>
        <sz val="11"/>
        <color rgb="FF1F2937"/>
        <rFont val="Noto Sans CJK SC"/>
        <family val="2"/>
      </rPr>
      <t>차트→체크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메모를 검증한다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미확보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미검출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추출 실패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표본 부족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모델 보류를 점검하고 현직자 확인 전 가설 수치를 승인 기준처럼 표시하지 않는다</t>
    </r>
    <r>
      <rPr>
        <sz val="11"/>
        <color rgb="FF1F2937"/>
        <rFont val="맑은 고딕"/>
        <family val="3"/>
        <charset val="129"/>
      </rPr>
      <t>.</t>
    </r>
  </si>
  <si>
    <t>N-R14
N-R24
N-R25
N-R26
N-R27
N-R28
N-R38
N-R39
N-R40
N-R43</t>
  </si>
  <si>
    <t>N-F21
N-F22
N-F23
N-F24
N-F25
N-F36
N-F37
N-F38
N-F41</t>
  </si>
  <si>
    <t>N-U05
N-U08
N-U09
N-U17
N-U20</t>
  </si>
  <si>
    <t>5.1, 2.5</t>
  </si>
  <si>
    <r>
      <rPr>
        <sz val="11"/>
        <color rgb="FF1F2937"/>
        <rFont val="Noto Sans CJK SC"/>
        <family val="2"/>
      </rPr>
      <t>실험 과제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측정 결과</t>
    </r>
  </si>
  <si>
    <r>
      <rPr>
        <sz val="11"/>
        <color rgb="FF1F2937"/>
        <rFont val="Noto Sans CJK SC"/>
        <family val="2"/>
      </rPr>
      <t>과제 순서 조정 후 검토 시간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미확인 항목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기록 초안 수정량 비교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표본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조건과 결과 기록</t>
    </r>
  </si>
  <si>
    <t>N-R29</t>
  </si>
  <si>
    <t>N-F26</t>
  </si>
  <si>
    <t>5.2, 5.3, 5.4, 7.2, 5.7</t>
  </si>
  <si>
    <r>
      <rPr>
        <sz val="11"/>
        <color rgb="FF1F2937"/>
        <rFont val="Noto Sans CJK SC"/>
        <family val="2"/>
      </rPr>
      <t>수정 내역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재검증 결과</t>
    </r>
  </si>
  <si>
    <r>
      <rPr>
        <sz val="11"/>
        <color rgb="FF1F2937"/>
        <rFont val="Noto Sans CJK SC"/>
        <family val="2"/>
      </rPr>
      <t>재무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주석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검출 상태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위험 단계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모델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화면 오류를 수정하고 영향 계산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데이터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원문 연결을 재검증한다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미해결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수용 미정 사항과 실제 통과 기록을 구분한다</t>
    </r>
    <r>
      <rPr>
        <sz val="11"/>
        <color rgb="FF1F2937"/>
        <rFont val="맑은 고딕"/>
        <family val="3"/>
        <charset val="129"/>
      </rPr>
      <t>.</t>
    </r>
  </si>
  <si>
    <t>N-R05
N-R28
N-R38
N-R39
N-R40
N-R41
N-R42
N-R43</t>
  </si>
  <si>
    <t>N-F03
N-F25
N-F36
N-F37
N-F38
N-F39
N-F40
N-F41</t>
  </si>
  <si>
    <t>N-U09
N-U19
N-U20</t>
  </si>
  <si>
    <t>5.5, 7.2</t>
  </si>
  <si>
    <r>
      <rPr>
        <sz val="11"/>
        <color rgb="FF1F2937"/>
        <rFont val="Noto Sans CJK SC"/>
        <family val="2"/>
      </rPr>
      <t>검증 보고서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범위 기록</t>
    </r>
  </si>
  <si>
    <r>
      <rPr>
        <sz val="11"/>
        <color rgb="FF1F2937"/>
        <rFont val="Noto Sans CJK SC"/>
        <family val="2"/>
      </rPr>
      <t>기능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정답지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계정 확보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추출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사용자 실험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모델 평가 표본을 구분한다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기준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결합 모델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보정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라벨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시점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업종 한계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미검출 원인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가설 미확정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미정 질문을 분리해 기록한다</t>
    </r>
    <r>
      <rPr>
        <sz val="11"/>
        <color rgb="FF1F2937"/>
        <rFont val="맑은 고딕"/>
        <family val="3"/>
        <charset val="129"/>
      </rPr>
      <t>.</t>
    </r>
  </si>
  <si>
    <t>N-R28
N-R29
N-R30
N-R37
N-R38
N-R39
N-R40
N-R41
N-R42
N-R43</t>
  </si>
  <si>
    <t>N-F25
N-F26
N-F27
N-F35
N-F36
N-F37
N-F38
N-F39
N-F40
N-F41</t>
  </si>
  <si>
    <t>N-U02
N-U05
N-U09
N-U17
N-U18
N-U19
N-U20</t>
  </si>
  <si>
    <t>시연 기준 버전</t>
  </si>
  <si>
    <t>발표에 포함할 기능과 검증 결과 확정</t>
  </si>
  <si>
    <t>N-R28
N-R29
N-R30</t>
  </si>
  <si>
    <t>N-F25
N-F26
N-F27</t>
  </si>
  <si>
    <r>
      <rPr>
        <sz val="11"/>
        <color rgb="FF1F2937"/>
        <rFont val="맑은 고딕"/>
        <family val="3"/>
        <charset val="129"/>
      </rPr>
      <t>README·</t>
    </r>
    <r>
      <rPr>
        <sz val="11"/>
        <color rgb="FF1F2937"/>
        <rFont val="Noto Sans CJK SC"/>
        <family val="2"/>
      </rPr>
      <t>항목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출처 문서</t>
    </r>
  </si>
  <si>
    <r>
      <rPr>
        <sz val="11"/>
        <color rgb="FF1F2937"/>
        <rFont val="Noto Sans CJK SC"/>
        <family val="2"/>
      </rPr>
      <t>재무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주석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위험 사건 라벨</t>
    </r>
    <r>
      <rPr>
        <sz val="11"/>
        <color rgb="FF1F2937"/>
        <rFont val="맑은 고딕"/>
        <family val="3"/>
        <charset val="129"/>
      </rPr>
      <t>·6</t>
    </r>
    <r>
      <rPr>
        <sz val="11"/>
        <color rgb="FF1F2937"/>
        <rFont val="Noto Sans CJK SC"/>
        <family val="2"/>
      </rPr>
      <t>축 업종 지표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추출 사전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검출 상태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시점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전처리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학습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평가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의존성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버전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실행 절차를 기록한다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미정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가설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실제 검증 결과와 향후 확장을 구분한다</t>
    </r>
    <r>
      <rPr>
        <sz val="11"/>
        <color rgb="FF1F2937"/>
        <rFont val="맑은 고딕"/>
        <family val="3"/>
        <charset val="129"/>
      </rPr>
      <t>.</t>
    </r>
  </si>
  <si>
    <t>N-R03
N-R27
N-R30
N-R31
N-R38
N-R39
N-R41
N-R42
N-R43</t>
  </si>
  <si>
    <t>N-F02
N-F24
N-F27
N-F28
N-F29
N-F36
N-F37
N-F39
N-F40
N-F41</t>
  </si>
  <si>
    <t>N-U08
N-U10
N-U18</t>
  </si>
  <si>
    <r>
      <rPr>
        <sz val="11"/>
        <color rgb="FF1F2937"/>
        <rFont val="Noto Sans CJK SC"/>
        <family val="2"/>
      </rPr>
      <t xml:space="preserve">최종 발표 </t>
    </r>
    <r>
      <rPr>
        <sz val="11"/>
        <color rgb="FF1F2937"/>
        <rFont val="맑은 고딕"/>
        <family val="3"/>
        <charset val="129"/>
      </rPr>
      <t>PPT</t>
    </r>
    <r>
      <rPr>
        <sz val="11"/>
        <color rgb="FF1F2937"/>
        <rFont val="Noto Sans CJK SC"/>
        <family val="2"/>
      </rPr>
      <t>와 대본</t>
    </r>
  </si>
  <si>
    <r>
      <rPr>
        <sz val="11"/>
        <color rgb="FF1F2937"/>
        <rFont val="Noto Sans CJK SC"/>
        <family val="2"/>
      </rPr>
      <t>현업 문제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인터뷰</t>
    </r>
    <r>
      <rPr>
        <sz val="11"/>
        <color rgb="FF1F2937"/>
        <rFont val="맑은 고딕"/>
        <family val="3"/>
        <charset val="129"/>
      </rPr>
      <t>·4</t>
    </r>
    <r>
      <rPr>
        <sz val="11"/>
        <color rgb="FF1F2937"/>
        <rFont val="Noto Sans CJK SC"/>
        <family val="2"/>
      </rPr>
      <t>개 업종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원문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위험 패널 시연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복합 위험 사건 예측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기준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결합 비교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검증 한계를 반영한다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 xml:space="preserve">렌탈 제외와 </t>
    </r>
    <r>
      <rPr>
        <sz val="11"/>
        <color rgb="FF1F2937"/>
        <rFont val="맑은 고딕"/>
        <family val="3"/>
        <charset val="129"/>
      </rPr>
      <t xml:space="preserve">15/5 </t>
    </r>
    <r>
      <rPr>
        <sz val="11"/>
        <color rgb="FF1F2937"/>
        <rFont val="Noto Sans CJK SC"/>
        <family val="2"/>
      </rPr>
      <t>미정 표본을 유지하고 기대효과를 실증 성과로 단정하지 않는다</t>
    </r>
    <r>
      <rPr>
        <sz val="11"/>
        <color rgb="FF1F2937"/>
        <rFont val="맑은 고딕"/>
        <family val="3"/>
        <charset val="129"/>
      </rPr>
      <t>.</t>
    </r>
  </si>
  <si>
    <t>N-R01
N-R14
N-R16
N-R28
N-R29
N-R31
N-R38
N-R39
N-R40</t>
  </si>
  <si>
    <t>N-F20
N-F25
N-F26
N-F28
N-F29
N-F36
N-F37
N-F38</t>
  </si>
  <si>
    <t>N-U02
N-U05
N-U09
N-U10
N-U17</t>
  </si>
  <si>
    <t>6.2, 5.1</t>
  </si>
  <si>
    <r>
      <rPr>
        <sz val="11"/>
        <color rgb="FF1F2937"/>
        <rFont val="Noto Sans CJK SC"/>
        <family val="2"/>
      </rPr>
      <t>시연 영상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예비 자료</t>
    </r>
  </si>
  <si>
    <r>
      <rPr>
        <sz val="11"/>
        <color rgb="FF1F2937"/>
        <rFont val="Noto Sans CJK SC"/>
        <family val="2"/>
      </rPr>
      <t>기업 검색→재무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변동→공통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업종 주석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검출 상태→규칙 위험 패널→예측 확률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근거→체크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메모 시연과 통신 실패 대안을 확인한다</t>
    </r>
    <r>
      <rPr>
        <sz val="11"/>
        <color rgb="FF1F2937"/>
        <rFont val="맑은 고딕"/>
        <family val="3"/>
        <charset val="129"/>
      </rPr>
      <t>.</t>
    </r>
  </si>
  <si>
    <t>N-R07
N-R11
N-R14
N-R23
N-R25
N-R26
N-R27
N-R30
N-R39
N-R40
N-R43</t>
  </si>
  <si>
    <t>N-F05
N-F10
N-F11
N-F20
N-F22
N-F23
N-F24
N-F27
N-F37
N-F38
N-F41</t>
  </si>
  <si>
    <t>6.1, 5.5</t>
  </si>
  <si>
    <t>제출 묶음과 점검표</t>
  </si>
  <si>
    <r>
      <rPr>
        <sz val="11"/>
        <color rgb="FF1F2937"/>
        <rFont val="Noto Sans CJK SC"/>
        <family val="2"/>
      </rPr>
      <t xml:space="preserve">최신 </t>
    </r>
    <r>
      <rPr>
        <sz val="11"/>
        <color rgb="FF1F2937"/>
        <rFont val="맑은 고딕"/>
        <family val="3"/>
        <charset val="129"/>
      </rPr>
      <t>PRD/</t>
    </r>
    <r>
      <rPr>
        <sz val="11"/>
        <color rgb="FF1F2937"/>
        <rFont val="Noto Sans CJK SC"/>
        <family val="2"/>
      </rPr>
      <t>요구사항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기능명세</t>
    </r>
    <r>
      <rPr>
        <sz val="11"/>
        <color rgb="FF1F2937"/>
        <rFont val="맑은 고딕"/>
        <family val="3"/>
        <charset val="129"/>
      </rPr>
      <t xml:space="preserve">/WBS </t>
    </r>
    <r>
      <rPr>
        <sz val="11"/>
        <color rgb="FF1F2937"/>
        <rFont val="Noto Sans CJK SC"/>
        <family val="2"/>
      </rPr>
      <t>버전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개정 이력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소스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명세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학습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평가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검증 보고서</t>
    </r>
    <r>
      <rPr>
        <sz val="11"/>
        <color rgb="FF1F2937"/>
        <rFont val="맑은 고딕"/>
        <family val="3"/>
        <charset val="129"/>
      </rPr>
      <t>·PPT/</t>
    </r>
    <r>
      <rPr>
        <sz val="11"/>
        <color rgb="FF1F2937"/>
        <rFont val="Noto Sans CJK SC"/>
        <family val="2"/>
      </rPr>
      <t>영상을 확인하고 처음부터 실행한다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자료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파일 존재를 실행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검증 완료와 구분한다</t>
    </r>
    <r>
      <rPr>
        <sz val="11"/>
        <color rgb="FF1F2937"/>
        <rFont val="맑은 고딕"/>
        <family val="3"/>
        <charset val="129"/>
      </rPr>
      <t>.</t>
    </r>
  </si>
  <si>
    <t>N-R28
N-R30</t>
  </si>
  <si>
    <t>N-F25
N-F27</t>
  </si>
  <si>
    <r>
      <rPr>
        <sz val="11"/>
        <color rgb="FF1F2937"/>
        <rFont val="Noto Sans CJK SC"/>
        <family val="2"/>
      </rPr>
      <t>리허설 기록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예상 질문</t>
    </r>
  </si>
  <si>
    <r>
      <rPr>
        <sz val="11"/>
        <color rgb="FF1F2937"/>
        <rFont val="맑은 고딕"/>
        <family val="3"/>
        <charset val="129"/>
      </rPr>
      <t>5~10</t>
    </r>
    <r>
      <rPr>
        <sz val="11"/>
        <color rgb="FF1F2937"/>
        <rFont val="Noto Sans CJK SC"/>
        <family val="2"/>
      </rPr>
      <t>분 발표와 역할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질의응답 확인</t>
    </r>
  </si>
  <si>
    <t>N-R29
N-R30</t>
  </si>
  <si>
    <t>6.3, 6.4, 6.5</t>
  </si>
  <si>
    <t>제출 접수 확인</t>
  </si>
  <si>
    <r>
      <rPr>
        <sz val="11"/>
        <color rgb="FF1F2937"/>
        <rFont val="Noto Sans CJK SC"/>
        <family val="2"/>
      </rPr>
      <t xml:space="preserve">기획안의 </t>
    </r>
    <r>
      <rPr>
        <sz val="11"/>
        <color rgb="FF1F2937"/>
        <rFont val="맑은 고딕"/>
        <family val="3"/>
        <charset val="129"/>
      </rPr>
      <t xml:space="preserve">11/05 09:00 </t>
    </r>
    <r>
      <rPr>
        <sz val="11"/>
        <color rgb="FF1F2937"/>
        <rFont val="Noto Sans CJK SC"/>
        <family val="2"/>
      </rPr>
      <t>제출 계획과 실제 교육 마감</t>
    </r>
    <r>
      <rPr>
        <sz val="11"/>
        <color rgb="FF1F2937"/>
        <rFont val="맑은 고딕"/>
        <family val="3"/>
        <charset val="129"/>
      </rPr>
      <t>(N-U09)</t>
    </r>
    <r>
      <rPr>
        <sz val="11"/>
        <color rgb="FF1F2937"/>
        <rFont val="Noto Sans CJK SC"/>
        <family val="2"/>
      </rPr>
      <t>을 대조한 뒤 접수 확인을 남긴다</t>
    </r>
    <r>
      <rPr>
        <sz val="11"/>
        <color rgb="FF1F2937"/>
        <rFont val="맑은 고딕"/>
        <family val="3"/>
        <charset val="129"/>
      </rPr>
      <t xml:space="preserve">. </t>
    </r>
    <r>
      <rPr>
        <sz val="11"/>
        <color rgb="FF1F2937"/>
        <rFont val="Noto Sans CJK SC"/>
        <family val="2"/>
      </rPr>
      <t>제출 예정과 실제 제출 완료를 구분한다</t>
    </r>
    <r>
      <rPr>
        <sz val="11"/>
        <color rgb="FF1F2937"/>
        <rFont val="맑은 고딕"/>
        <family val="3"/>
        <charset val="129"/>
      </rPr>
      <t>.</t>
    </r>
  </si>
  <si>
    <t>N-R30</t>
  </si>
  <si>
    <r>
      <rPr>
        <sz val="11"/>
        <color rgb="FF1F2937"/>
        <rFont val="Noto Sans CJK SC"/>
        <family val="2"/>
      </rPr>
      <t>발표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질의응답 기록</t>
    </r>
  </si>
  <si>
    <r>
      <rPr>
        <sz val="11"/>
        <color rgb="FF1F2937"/>
        <rFont val="Noto Sans CJK SC"/>
        <family val="2"/>
      </rPr>
      <t>최종 시연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검증 결과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표본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라벨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가설</t>
    </r>
    <r>
      <rPr>
        <sz val="11"/>
        <color rgb="FF1F2937"/>
        <rFont val="맑은 고딕"/>
        <family val="3"/>
        <charset val="129"/>
      </rPr>
      <t>/</t>
    </r>
    <r>
      <rPr>
        <sz val="11"/>
        <color rgb="FF1F2937"/>
        <rFont val="Noto Sans CJK SC"/>
        <family val="2"/>
      </rPr>
      <t>미정</t>
    </r>
    <r>
      <rPr>
        <sz val="11"/>
        <color rgb="FF1F2937"/>
        <rFont val="맑은 고딕"/>
        <family val="3"/>
        <charset val="129"/>
      </rPr>
      <t>·</t>
    </r>
    <r>
      <rPr>
        <sz val="11"/>
        <color rgb="FF1F2937"/>
        <rFont val="Noto Sans CJK SC"/>
        <family val="2"/>
      </rPr>
      <t>확장 범위를 설명하고 질의응답을 기록한다</t>
    </r>
    <r>
      <rPr>
        <sz val="11"/>
        <color rgb="FF1F2937"/>
        <rFont val="맑은 고딕"/>
        <family val="3"/>
        <charset val="129"/>
      </rPr>
      <t>.</t>
    </r>
  </si>
  <si>
    <t>N-R28
N-R29
N-R30
N-R31</t>
  </si>
  <si>
    <t>N-U09
N-U10</t>
  </si>
  <si>
    <r>
      <rPr>
        <sz val="11"/>
        <color rgb="FF1F2937"/>
        <rFont val="돋움"/>
        <family val="3"/>
        <charset val="129"/>
      </rPr>
      <t>기획안</t>
    </r>
    <r>
      <rPr>
        <sz val="11"/>
        <color rgb="FF1F2937"/>
        <rFont val="맑은 고딕"/>
        <family val="3"/>
        <charset val="129"/>
      </rPr>
      <t>_LoanSight_AI_v2.0.docx</t>
    </r>
    <phoneticPr fontId="20" type="noConversion"/>
  </si>
  <si>
    <t>기획안_LoanSight_AI_v2.1.docx</t>
    <phoneticPr fontId="20" type="noConversion"/>
  </si>
  <si>
    <t>LoanSight AI 작업 관리 v1.2</t>
    <phoneticPr fontId="20" type="noConversion"/>
  </si>
  <si>
    <t>LoanSight AI 일정 v1.2</t>
    <phoneticPr fontId="20" type="noConversion"/>
  </si>
  <si>
    <t>LoanSight AI 완료 기준 v1.2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</si>
</sst>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\-mm\-dd"/>
    <numFmt numFmtId="177" formatCode="m/d/yyyy"/>
    <numFmt numFmtId="178" formatCode="d"/>
    <numFmt numFmtId="179" formatCode=";;;"/>
  </numFmts>
  <fonts count="22">
    <font>
      <sz val="11"/>
      <name val="Calibri"/>
      <charset val="1"/>
    </font>
    <font>
      <sz val="11"/>
      <color rgb="FF202B36"/>
      <name val="Noto Sans CJK KR"/>
      <charset val="1"/>
    </font>
    <font>
      <b/>
      <sz val="17"/>
      <color rgb="FF202B36"/>
      <name val="Noto Sans CJK KR"/>
      <family val="3"/>
      <charset val="129"/>
    </font>
    <font>
      <b/>
      <sz val="10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sz val="10"/>
      <color rgb="FF1F2937"/>
      <name val="맑은 고딕"/>
      <family val="3"/>
      <charset val="129"/>
    </font>
    <font>
      <sz val="10"/>
      <color rgb="FF1F2937"/>
      <name val="Noto Sans CJK SC"/>
      <family val="2"/>
    </font>
    <font>
      <b/>
      <sz val="17"/>
      <color rgb="FF233D55"/>
      <name val="Noto Sans CJK KR"/>
      <family val="3"/>
      <charset val="129"/>
    </font>
    <font>
      <b/>
      <sz val="11"/>
      <color rgb="FF202B36"/>
      <name val="Noto Sans CJK KR"/>
      <family val="3"/>
      <charset val="129"/>
    </font>
    <font>
      <b/>
      <sz val="11"/>
      <color rgb="FFFFFFFF"/>
      <name val="Noto Sans CJK KR"/>
      <family val="3"/>
      <charset val="129"/>
    </font>
    <font>
      <sz val="11"/>
      <color rgb="FF374151"/>
      <name val="Noto Sans CJK SC"/>
      <family val="2"/>
    </font>
    <font>
      <sz val="11"/>
      <color rgb="FF374151"/>
      <name val="맑은 고딕"/>
      <family val="3"/>
      <charset val="129"/>
    </font>
    <font>
      <sz val="10"/>
      <color rgb="FF647380"/>
      <name val="Noto Sans CJK KR"/>
      <family val="3"/>
      <charset val="129"/>
    </font>
    <font>
      <sz val="11"/>
      <color rgb="FF647380"/>
      <name val="Noto Sans CJK KR"/>
      <family val="3"/>
      <charset val="129"/>
    </font>
    <font>
      <sz val="10"/>
      <color rgb="FF202B36"/>
      <name val="Noto Sans CJK KR"/>
      <family val="3"/>
      <charset val="129"/>
    </font>
    <font>
      <sz val="11"/>
      <color rgb="FF6E587B"/>
      <name val="Noto Sans CJK KR"/>
      <family val="3"/>
      <charset val="129"/>
    </font>
    <font>
      <b/>
      <sz val="10"/>
      <color rgb="FF647380"/>
      <name val="Noto Sans CJK KR"/>
      <family val="3"/>
      <charset val="129"/>
    </font>
    <font>
      <sz val="11"/>
      <color rgb="FF1F2937"/>
      <name val="맑은 고딕"/>
      <family val="3"/>
      <charset val="129"/>
    </font>
    <font>
      <sz val="11"/>
      <color rgb="FF1F2937"/>
      <name val="Noto Sans CJK SC"/>
      <family val="2"/>
    </font>
    <font>
      <sz val="11"/>
      <name val="Calibri"/>
      <family val="2"/>
    </font>
    <font>
      <sz val="8"/>
      <name val="돋움"/>
      <family val="3"/>
      <charset val="129"/>
    </font>
    <font>
      <sz val="11"/>
      <color rgb="FF1F2937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234154"/>
        <bgColor rgb="FF233D55"/>
      </patternFill>
    </fill>
    <fill>
      <patternFill patternType="solid">
        <fgColor rgb="FFF5F7FA"/>
        <bgColor rgb="FFEEF3F8"/>
      </patternFill>
    </fill>
    <fill>
      <patternFill patternType="solid">
        <fgColor rgb="FF233D55"/>
        <bgColor rgb="FF234154"/>
      </patternFill>
    </fill>
    <fill>
      <patternFill patternType="solid">
        <fgColor rgb="FFFFFAED"/>
        <bgColor rgb="FFFFFFFF"/>
      </patternFill>
    </fill>
    <fill>
      <patternFill patternType="solid">
        <fgColor rgb="FF53616D"/>
        <bgColor rgb="FF45647E"/>
      </patternFill>
    </fill>
    <fill>
      <patternFill patternType="solid">
        <fgColor rgb="FFEDF0F3"/>
        <bgColor rgb="FFF0F1F3"/>
      </patternFill>
    </fill>
  </fills>
  <borders count="6">
    <border>
      <left/>
      <right/>
      <top/>
      <bottom/>
      <diagonal/>
    </border>
    <border>
      <left/>
      <right/>
      <top/>
      <bottom style="thin">
        <color rgb="FFDCE3E9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B9C8D4"/>
      </top>
      <bottom/>
      <diagonal/>
    </border>
  </borders>
  <cellStyleXfs count="2">
    <xf numFmtId="0" fontId="0" fillId="0" borderId="0"/>
    <xf numFmtId="0" fontId="19" fillId="0" borderId="0"/>
  </cellStyleXfs>
  <cellXfs count="65">
    <xf numFmtId="0" fontId="0" fillId="0" borderId="0" xfId="0"/>
    <xf numFmtId="0" fontId="11" fillId="0" borderId="0" xfId="1" applyFont="1" applyBorder="1" applyAlignment="1">
      <alignment vertical="center" wrapText="1"/>
    </xf>
    <xf numFmtId="0" fontId="10" fillId="0" borderId="0" xfId="1" applyFont="1" applyBorder="1" applyAlignment="1">
      <alignment vertical="center" wrapText="1"/>
    </xf>
    <xf numFmtId="0" fontId="8" fillId="0" borderId="0" xfId="1" applyFont="1" applyBorder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2" borderId="0" xfId="1" applyFont="1" applyFill="1" applyAlignment="1">
      <alignment vertical="center" wrapText="1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vertical="center" wrapText="1"/>
    </xf>
    <xf numFmtId="176" fontId="5" fillId="0" borderId="0" xfId="1" applyNumberFormat="1" applyFont="1" applyAlignment="1">
      <alignment vertical="center" wrapText="1"/>
    </xf>
    <xf numFmtId="0" fontId="1" fillId="3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8" fillId="0" borderId="0" xfId="1" applyFont="1" applyAlignment="1">
      <alignment vertical="center"/>
    </xf>
    <xf numFmtId="0" fontId="9" fillId="4" borderId="2" xfId="1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center" vertical="center"/>
    </xf>
    <xf numFmtId="177" fontId="1" fillId="0" borderId="0" xfId="1" applyNumberFormat="1" applyFont="1" applyAlignment="1">
      <alignment horizontal="center" vertical="center"/>
    </xf>
    <xf numFmtId="0" fontId="1" fillId="3" borderId="0" xfId="1" applyFont="1" applyFill="1" applyAlignment="1">
      <alignment vertical="center" wrapText="1"/>
    </xf>
    <xf numFmtId="177" fontId="1" fillId="3" borderId="0" xfId="1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12" fillId="0" borderId="0" xfId="1" applyFont="1" applyAlignment="1">
      <alignment vertical="center"/>
    </xf>
    <xf numFmtId="49" fontId="1" fillId="0" borderId="5" xfId="1" applyNumberFormat="1" applyFont="1" applyBorder="1" applyAlignment="1">
      <alignment vertical="center"/>
    </xf>
    <xf numFmtId="0" fontId="13" fillId="0" borderId="5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5" xfId="1" applyFont="1" applyBorder="1" applyAlignment="1">
      <alignment horizontal="center" vertical="center"/>
    </xf>
    <xf numFmtId="177" fontId="1" fillId="0" borderId="5" xfId="1" applyNumberFormat="1" applyFont="1" applyBorder="1" applyAlignment="1">
      <alignment horizontal="center" vertical="center"/>
    </xf>
    <xf numFmtId="0" fontId="1" fillId="5" borderId="5" xfId="1" applyFont="1" applyFill="1" applyBorder="1" applyAlignment="1">
      <alignment horizontal="center" vertical="center"/>
    </xf>
    <xf numFmtId="9" fontId="1" fillId="5" borderId="5" xfId="1" applyNumberFormat="1" applyFont="1" applyFill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49" fontId="1" fillId="3" borderId="0" xfId="1" applyNumberFormat="1" applyFont="1" applyFill="1" applyAlignment="1">
      <alignment vertical="center"/>
    </xf>
    <xf numFmtId="0" fontId="13" fillId="3" borderId="0" xfId="1" applyFont="1" applyFill="1" applyAlignment="1">
      <alignment vertical="center" wrapText="1"/>
    </xf>
    <xf numFmtId="0" fontId="1" fillId="5" borderId="0" xfId="1" applyFont="1" applyFill="1" applyAlignment="1">
      <alignment horizontal="center" vertical="center"/>
    </xf>
    <xf numFmtId="9" fontId="1" fillId="5" borderId="0" xfId="1" applyNumberFormat="1" applyFont="1" applyFill="1" applyAlignment="1">
      <alignment horizontal="center" vertical="center"/>
    </xf>
    <xf numFmtId="0" fontId="14" fillId="3" borderId="0" xfId="1" applyFont="1" applyFill="1" applyAlignment="1">
      <alignment horizontal="center" vertical="center"/>
    </xf>
    <xf numFmtId="49" fontId="1" fillId="0" borderId="0" xfId="1" applyNumberFormat="1" applyFont="1" applyAlignment="1">
      <alignment vertical="center"/>
    </xf>
    <xf numFmtId="0" fontId="13" fillId="0" borderId="0" xfId="1" applyFont="1" applyAlignment="1">
      <alignment vertical="center" wrapText="1"/>
    </xf>
    <xf numFmtId="0" fontId="14" fillId="0" borderId="0" xfId="1" applyFont="1" applyAlignment="1">
      <alignment horizontal="center" vertical="center"/>
    </xf>
    <xf numFmtId="49" fontId="1" fillId="3" borderId="5" xfId="1" applyNumberFormat="1" applyFont="1" applyFill="1" applyBorder="1" applyAlignment="1">
      <alignment vertical="center"/>
    </xf>
    <xf numFmtId="0" fontId="13" fillId="3" borderId="5" xfId="1" applyFont="1" applyFill="1" applyBorder="1" applyAlignment="1">
      <alignment vertical="center" wrapText="1"/>
    </xf>
    <xf numFmtId="0" fontId="1" fillId="3" borderId="5" xfId="1" applyFont="1" applyFill="1" applyBorder="1" applyAlignment="1">
      <alignment vertical="center" wrapText="1"/>
    </xf>
    <xf numFmtId="0" fontId="1" fillId="3" borderId="5" xfId="1" applyFont="1" applyFill="1" applyBorder="1" applyAlignment="1">
      <alignment horizontal="center" vertical="center"/>
    </xf>
    <xf numFmtId="177" fontId="1" fillId="3" borderId="5" xfId="1" applyNumberFormat="1" applyFont="1" applyFill="1" applyBorder="1" applyAlignment="1">
      <alignment horizontal="center" vertical="center"/>
    </xf>
    <xf numFmtId="0" fontId="14" fillId="3" borderId="5" xfId="1" applyFont="1" applyFill="1" applyBorder="1" applyAlignment="1">
      <alignment horizontal="center" vertical="center"/>
    </xf>
    <xf numFmtId="0" fontId="15" fillId="0" borderId="5" xfId="1" applyFont="1" applyBorder="1" applyAlignment="1">
      <alignment vertical="center" wrapText="1"/>
    </xf>
    <xf numFmtId="0" fontId="15" fillId="3" borderId="0" xfId="1" applyFont="1" applyFill="1" applyAlignment="1">
      <alignment vertical="center" wrapText="1"/>
    </xf>
    <xf numFmtId="0" fontId="15" fillId="0" borderId="0" xfId="1" applyFont="1" applyAlignment="1">
      <alignment vertical="center" wrapText="1"/>
    </xf>
    <xf numFmtId="0" fontId="16" fillId="0" borderId="0" xfId="1" applyFont="1" applyAlignment="1">
      <alignment vertical="center"/>
    </xf>
    <xf numFmtId="178" fontId="9" fillId="4" borderId="3" xfId="1" applyNumberFormat="1" applyFont="1" applyFill="1" applyBorder="1" applyAlignment="1">
      <alignment horizontal="center" vertical="center"/>
    </xf>
    <xf numFmtId="178" fontId="9" fillId="6" borderId="3" xfId="1" applyNumberFormat="1" applyFont="1" applyFill="1" applyBorder="1" applyAlignment="1">
      <alignment horizontal="center" vertical="center"/>
    </xf>
    <xf numFmtId="178" fontId="9" fillId="4" borderId="4" xfId="1" applyNumberFormat="1" applyFont="1" applyFill="1" applyBorder="1" applyAlignment="1">
      <alignment horizontal="center" vertical="center"/>
    </xf>
    <xf numFmtId="179" fontId="1" fillId="0" borderId="0" xfId="1" applyNumberFormat="1" applyFont="1" applyAlignment="1">
      <alignment vertical="center"/>
    </xf>
    <xf numFmtId="179" fontId="1" fillId="7" borderId="0" xfId="1" applyNumberFormat="1" applyFont="1" applyFill="1" applyAlignment="1">
      <alignment vertical="center"/>
    </xf>
    <xf numFmtId="179" fontId="1" fillId="3" borderId="0" xfId="1" applyNumberFormat="1" applyFont="1" applyFill="1" applyAlignment="1">
      <alignment vertical="center"/>
    </xf>
    <xf numFmtId="49" fontId="17" fillId="0" borderId="0" xfId="1" applyNumberFormat="1" applyFont="1" applyAlignment="1">
      <alignment vertical="center" wrapText="1"/>
    </xf>
    <xf numFmtId="0" fontId="18" fillId="0" borderId="0" xfId="1" applyFont="1" applyAlignment="1">
      <alignment vertical="center" wrapText="1"/>
    </xf>
    <xf numFmtId="0" fontId="17" fillId="0" borderId="0" xfId="1" applyFont="1" applyAlignment="1">
      <alignment vertical="center" wrapText="1"/>
    </xf>
    <xf numFmtId="0" fontId="18" fillId="5" borderId="0" xfId="1" applyFont="1" applyFill="1" applyAlignment="1">
      <alignment vertical="center" wrapText="1"/>
    </xf>
    <xf numFmtId="49" fontId="17" fillId="3" borderId="0" xfId="1" applyNumberFormat="1" applyFont="1" applyFill="1" applyAlignment="1">
      <alignment vertical="center" wrapText="1"/>
    </xf>
    <xf numFmtId="0" fontId="18" fillId="3" borderId="0" xfId="1" applyFont="1" applyFill="1" applyAlignment="1">
      <alignment vertical="center" wrapText="1"/>
    </xf>
    <xf numFmtId="0" fontId="17" fillId="3" borderId="0" xfId="1" applyFont="1" applyFill="1" applyAlignment="1">
      <alignment vertical="center" wrapText="1"/>
    </xf>
    <xf numFmtId="0" fontId="17" fillId="5" borderId="0" xfId="1" applyFont="1" applyFill="1" applyAlignment="1">
      <alignment vertical="center" wrapText="1"/>
    </xf>
  </cellXfs>
  <cellStyles count="2">
    <cellStyle name="Normal" xfId="1"/>
    <cellStyle name="표준" xfId="0" builtinId="0"/>
  </cellStyles>
  <dxfs count="24">
    <dxf>
      <fill>
        <patternFill>
          <bgColor rgb="FFB4A7D6"/>
        </patternFill>
      </fill>
    </dxf>
    <dxf>
      <fill>
        <patternFill>
          <bgColor rgb="FFA9D18E"/>
        </patternFill>
      </fill>
    </dxf>
    <dxf>
      <fill>
        <patternFill>
          <bgColor rgb="FF9DC3E6"/>
        </patternFill>
      </fill>
    </dxf>
    <dxf>
      <fill>
        <patternFill>
          <bgColor rgb="FF8B749D"/>
        </patternFill>
      </fill>
    </dxf>
    <dxf>
      <fill>
        <patternFill>
          <bgColor rgb="FF7EA88D"/>
        </patternFill>
      </fill>
    </dxf>
    <dxf>
      <fill>
        <patternFill>
          <bgColor rgb="FF93AEC4"/>
        </patternFill>
      </fill>
    </dxf>
    <dxf>
      <fill>
        <patternFill>
          <bgColor rgb="FFDDEBF7"/>
        </patternFill>
      </fill>
    </dxf>
    <dxf>
      <fill>
        <patternFill>
          <bgColor rgb="FFEEF2F6"/>
        </patternFill>
      </fill>
    </dxf>
    <dxf>
      <fill>
        <patternFill>
          <bgColor rgb="FFE2F0D9"/>
        </patternFill>
      </fill>
    </dxf>
    <dxf>
      <font>
        <b/>
        <color rgb="FF9A4139"/>
      </font>
      <fill>
        <patternFill>
          <bgColor rgb="FFFCE8E6"/>
        </patternFill>
      </fill>
    </dxf>
    <dxf>
      <font>
        <color rgb="FF647380"/>
      </font>
      <fill>
        <patternFill>
          <bgColor rgb="FFF0F1F3"/>
        </patternFill>
      </fill>
    </dxf>
    <dxf>
      <font>
        <color rgb="FF9A4139"/>
      </font>
      <fill>
        <patternFill>
          <bgColor rgb="FFFCE8E6"/>
        </patternFill>
      </fill>
    </dxf>
    <dxf>
      <font>
        <color rgb="FF647380"/>
      </font>
      <fill>
        <patternFill>
          <bgColor rgb="FFF0F1F3"/>
        </patternFill>
      </fill>
    </dxf>
    <dxf>
      <font>
        <color rgb="FF45647E"/>
      </font>
      <fill>
        <patternFill>
          <bgColor rgb="FFEEF3F8"/>
        </patternFill>
      </fill>
    </dxf>
    <dxf>
      <font>
        <color rgb="FF695284"/>
      </font>
      <fill>
        <patternFill>
          <bgColor rgb="FFEDE7F3"/>
        </patternFill>
      </fill>
    </dxf>
    <dxf>
      <font>
        <color rgb="FF426B8C"/>
      </font>
      <fill>
        <patternFill>
          <bgColor rgb="FFEAF1F7"/>
        </patternFill>
      </fill>
    </dxf>
    <dxf>
      <font>
        <color rgb="FF2C6244"/>
      </font>
      <fill>
        <patternFill>
          <bgColor rgb="FFE7F2EC"/>
        </patternFill>
      </fill>
    </dxf>
    <dxf>
      <font>
        <color rgb="FF647380"/>
      </font>
      <fill>
        <patternFill>
          <bgColor rgb="FFF0F1F3"/>
        </patternFill>
      </fill>
    </dxf>
    <dxf>
      <font>
        <color rgb="FF9A4139"/>
      </font>
      <fill>
        <patternFill>
          <bgColor rgb="FFFCE8E6"/>
        </patternFill>
      </fill>
    </dxf>
    <dxf>
      <font>
        <color rgb="FF647380"/>
      </font>
      <fill>
        <patternFill>
          <bgColor rgb="FFF0F1F3"/>
        </patternFill>
      </fill>
    </dxf>
    <dxf>
      <font>
        <color rgb="FF45647E"/>
      </font>
      <fill>
        <patternFill>
          <bgColor rgb="FFEEF3F8"/>
        </patternFill>
      </fill>
    </dxf>
    <dxf>
      <font>
        <color rgb="FF695284"/>
      </font>
      <fill>
        <patternFill>
          <bgColor rgb="FFEDE7F3"/>
        </patternFill>
      </fill>
    </dxf>
    <dxf>
      <font>
        <color rgb="FF426B8C"/>
      </font>
      <fill>
        <patternFill>
          <bgColor rgb="FFEAF1F7"/>
        </patternFill>
      </fill>
    </dxf>
    <dxf>
      <font>
        <color rgb="FF2C6244"/>
      </font>
      <fill>
        <patternFill>
          <bgColor rgb="FFE7F2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1F3"/>
      <rgbColor rgb="FFFF00FF"/>
      <rgbColor rgb="FFF5F7FA"/>
      <rgbColor rgb="FF800000"/>
      <rgbColor rgb="FF008000"/>
      <rgbColor rgb="FF000080"/>
      <rgbColor rgb="FF53616D"/>
      <rgbColor rgb="FF800080"/>
      <rgbColor rgb="FF2C6244"/>
      <rgbColor rgb="FFB9C8D4"/>
      <rgbColor rgb="FF8B749D"/>
      <rgbColor rgb="FF93AEC4"/>
      <rgbColor rgb="FF9A4139"/>
      <rgbColor rgb="FFFFFAED"/>
      <rgbColor rgb="FFDDEBF7"/>
      <rgbColor rgb="FF660066"/>
      <rgbColor rgb="FFEAF1F7"/>
      <rgbColor rgb="FF0066CC"/>
      <rgbColor rgb="FFD2D8DE"/>
      <rgbColor rgb="FF000080"/>
      <rgbColor rgb="FFFF00FF"/>
      <rgbColor rgb="FFEDF0F3"/>
      <rgbColor rgb="FF00FFFF"/>
      <rgbColor rgb="FF800080"/>
      <rgbColor rgb="FF800000"/>
      <rgbColor rgb="FF45647E"/>
      <rgbColor rgb="FF0000FF"/>
      <rgbColor rgb="FF00CCFF"/>
      <rgbColor rgb="FFE7F2EC"/>
      <rgbColor rgb="FFE2F0D9"/>
      <rgbColor rgb="FFFCE8E6"/>
      <rgbColor rgb="FF9DC3E6"/>
      <rgbColor rgb="FFA3B5C3"/>
      <rgbColor rgb="FFB4A7D6"/>
      <rgbColor rgb="FFDCE3E9"/>
      <rgbColor rgb="FF3366FF"/>
      <rgbColor rgb="FFEEF3F8"/>
      <rgbColor rgb="FFA9D18E"/>
      <rgbColor rgb="FFEDE7F3"/>
      <rgbColor rgb="FFEEF2F6"/>
      <rgbColor rgb="FFFF6600"/>
      <rgbColor rgb="FF647380"/>
      <rgbColor rgb="FF7EA88D"/>
      <rgbColor rgb="FF233D55"/>
      <rgbColor rgb="FF426B8C"/>
      <rgbColor rgb="FF234154"/>
      <rgbColor rgb="FF1F2937"/>
      <rgbColor rgb="FF6E587B"/>
      <rgbColor rgb="FF695284"/>
      <rgbColor rgb="FF374151"/>
      <rgbColor rgb="FF202B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sksV1" displayName="TasksV1" ref="A8:J77" totalsRowShown="0">
  <autoFilter ref="A8:J77"/>
  <tableColumns count="10">
    <tableColumn id="1" name="ID"/>
    <tableColumn id="2" name="단계"/>
    <tableColumn id="3" name="작업"/>
    <tableColumn id="4" name="주담당"/>
    <tableColumn id="5" name="시작"/>
    <tableColumn id="6" name="마감"/>
    <tableColumn id="7" name="상태"/>
    <tableColumn id="8" name="진행률"/>
    <tableColumn id="9" name="범위"/>
    <tableColumn id="10" name="입력 확인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AcceptanceV1" displayName="AcceptanceV1" ref="A8:J77" totalsRowShown="0">
  <autoFilter ref="A8:J77"/>
  <tableColumns count="10">
    <tableColumn id="1" name="ID"/>
    <tableColumn id="2" name="작업"/>
    <tableColumn id="3" name="협업"/>
    <tableColumn id="4" name="선행 ID"/>
    <tableColumn id="5" name="산출물"/>
    <tableColumn id="6" name="완료 기준"/>
    <tableColumn id="7" name="완료근거"/>
    <tableColumn id="8" name="관련 요구사항"/>
    <tableColumn id="9" name="관련 기능"/>
    <tableColumn id="10" name="미정 질문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33D55"/>
  </sheetPr>
  <dimension ref="A1:H66"/>
  <sheetViews>
    <sheetView showGridLines="0" zoomScale="70" zoomScaleNormal="70" workbookViewId="0">
      <selection activeCell="T6" sqref="T6"/>
    </sheetView>
  </sheetViews>
  <sheetFormatPr defaultColWidth="8.6640625" defaultRowHeight="14.4"/>
  <cols>
    <col min="1" max="1" width="14" customWidth="1"/>
    <col min="2" max="2" width="42.44140625" customWidth="1"/>
    <col min="3" max="3" width="13.44140625" customWidth="1"/>
    <col min="4" max="4" width="11" customWidth="1"/>
    <col min="5" max="5" width="14.5546875" customWidth="1"/>
    <col min="6" max="6" width="14" customWidth="1"/>
    <col min="7" max="8" width="12.44140625" customWidth="1"/>
  </cols>
  <sheetData>
    <row r="1" spans="1:8" ht="13.5" customHeight="1">
      <c r="A1" s="4"/>
      <c r="B1" s="4"/>
      <c r="C1" s="4"/>
      <c r="D1" s="4"/>
      <c r="E1" s="4"/>
      <c r="F1" s="4"/>
      <c r="G1" s="4"/>
      <c r="H1" s="4"/>
    </row>
    <row r="2" spans="1:8" ht="33.75" customHeight="1">
      <c r="A2" s="5" t="s">
        <v>0</v>
      </c>
      <c r="B2" s="4"/>
      <c r="C2" s="4"/>
      <c r="D2" s="4"/>
      <c r="E2" s="4"/>
      <c r="F2" s="4"/>
      <c r="G2" s="4"/>
      <c r="H2" s="4"/>
    </row>
    <row r="3" spans="1:8" ht="7.5" customHeight="1">
      <c r="A3" s="6"/>
      <c r="B3" s="6"/>
      <c r="C3" s="6"/>
      <c r="D3" s="6"/>
      <c r="E3" s="6"/>
      <c r="F3" s="6"/>
      <c r="G3" s="6"/>
      <c r="H3" s="6"/>
    </row>
    <row r="4" spans="1:8" ht="31.5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4"/>
      <c r="H4" s="4"/>
    </row>
    <row r="5" spans="1:8" ht="75.75" customHeight="1">
      <c r="A5" s="8" t="s">
        <v>7</v>
      </c>
      <c r="B5" s="9" t="s">
        <v>8</v>
      </c>
      <c r="C5" s="10">
        <v>46316</v>
      </c>
      <c r="D5" s="9" t="s">
        <v>9</v>
      </c>
      <c r="E5" s="9" t="s">
        <v>10</v>
      </c>
      <c r="F5" s="9" t="s">
        <v>11</v>
      </c>
      <c r="G5" s="4"/>
      <c r="H5" s="4"/>
    </row>
    <row r="6" spans="1:8" ht="151.5" customHeight="1">
      <c r="A6" s="8" t="s">
        <v>12</v>
      </c>
      <c r="B6" s="8" t="s">
        <v>13</v>
      </c>
      <c r="C6" s="10">
        <v>46319</v>
      </c>
      <c r="D6" s="9" t="s">
        <v>9</v>
      </c>
      <c r="E6" s="9" t="s">
        <v>10</v>
      </c>
      <c r="F6" s="9" t="s">
        <v>14</v>
      </c>
      <c r="G6" s="4"/>
      <c r="H6" s="4"/>
    </row>
    <row r="7" spans="1:8" ht="6" customHeight="1">
      <c r="A7" s="4"/>
      <c r="B7" s="4"/>
      <c r="C7" s="4"/>
      <c r="D7" s="4"/>
      <c r="E7" s="4"/>
      <c r="F7" s="4"/>
      <c r="G7" s="4"/>
      <c r="H7" s="4"/>
    </row>
    <row r="8" spans="1:8" ht="33.75" customHeight="1">
      <c r="A8" s="11" t="s">
        <v>15</v>
      </c>
      <c r="B8" s="12">
        <f>COUNTA('작업 관리'!$A$9:$A$77)</f>
        <v>69</v>
      </c>
      <c r="C8" s="11" t="s">
        <v>16</v>
      </c>
      <c r="D8" s="12">
        <f>COUNTIFS('작업 관리'!$J$9:$J$77,"완료 확인")</f>
        <v>5</v>
      </c>
      <c r="E8" s="11" t="s">
        <v>17</v>
      </c>
      <c r="F8" s="12">
        <f>COUNTIFS('작업 관리'!$G$9:$G$77,"미확인")</f>
        <v>0</v>
      </c>
      <c r="G8" s="11" t="s">
        <v>18</v>
      </c>
      <c r="H8" s="12">
        <f>COUNTIFS('작업 관리'!$G$9:$G$77,"예정")</f>
        <v>49</v>
      </c>
    </row>
    <row r="9" spans="1:8" ht="25.5" customHeight="1">
      <c r="A9" s="4"/>
      <c r="B9" s="4"/>
      <c r="C9" s="4"/>
      <c r="D9" s="4"/>
      <c r="E9" s="4"/>
      <c r="F9" s="4"/>
      <c r="G9" s="4"/>
      <c r="H9" s="4"/>
    </row>
    <row r="10" spans="1:8" ht="25.5" customHeight="1">
      <c r="A10" s="13" t="s">
        <v>19</v>
      </c>
      <c r="B10" s="4"/>
      <c r="C10" s="4"/>
      <c r="D10" s="4"/>
      <c r="E10" s="4"/>
      <c r="F10" s="4"/>
      <c r="G10" s="4"/>
      <c r="H10" s="4"/>
    </row>
    <row r="11" spans="1:8" ht="30.75" customHeight="1">
      <c r="A11" s="14" t="s">
        <v>20</v>
      </c>
      <c r="B11" s="15" t="s">
        <v>21</v>
      </c>
      <c r="C11" s="15" t="s">
        <v>22</v>
      </c>
      <c r="D11" s="15" t="s">
        <v>23</v>
      </c>
      <c r="E11" s="15" t="s">
        <v>24</v>
      </c>
      <c r="F11" s="15" t="s">
        <v>16</v>
      </c>
      <c r="G11" s="15" t="s">
        <v>25</v>
      </c>
      <c r="H11" s="16" t="s">
        <v>26</v>
      </c>
    </row>
    <row r="12" spans="1:8" ht="45.75" customHeight="1">
      <c r="A12" s="17" t="s">
        <v>27</v>
      </c>
      <c r="B12" s="17" t="s">
        <v>28</v>
      </c>
      <c r="C12" s="18">
        <f>COUNTIFS('작업 관리'!$B$9:$B$77,$A12,'작업 관리'!$I$9:$I$77,"필수")</f>
        <v>10</v>
      </c>
      <c r="D12" s="18">
        <f>COUNTIFS('작업 관리'!$B$9:$B$77,$A12,'작업 관리'!$I$9:$I$77,"보완")</f>
        <v>0</v>
      </c>
      <c r="E12" s="18">
        <f>COUNTIFS('작업 관리'!$B$9:$B$77,$A12,'작업 관리'!$I$9:$I$77,"마일스톤")</f>
        <v>1</v>
      </c>
      <c r="F12" s="18">
        <f>COUNTIFS('작업 관리'!$B$9:$B$77,$A12,'작업 관리'!$J$9:$J$77,"완료 확인")</f>
        <v>5</v>
      </c>
      <c r="G12" s="19" t="e">
        <f ca="1">_xlfn.MINIFS('작업 관리'!$E$9:$E$77,'작업 관리'!$B$9:$B$77,$A12)</f>
        <v>#NAME?</v>
      </c>
      <c r="H12" s="19" t="e">
        <f ca="1">_xlfn.MAXIFS('작업 관리'!$F$9:$F$77,'작업 관리'!$B$9:$B$77,$A12)</f>
        <v>#NAME?</v>
      </c>
    </row>
    <row r="13" spans="1:8" ht="45.75" customHeight="1">
      <c r="A13" s="20" t="s">
        <v>29</v>
      </c>
      <c r="B13" s="20" t="s">
        <v>30</v>
      </c>
      <c r="C13" s="11">
        <f>COUNTIFS('작업 관리'!$B$9:$B$77,$A13,'작업 관리'!$I$9:$I$77,"필수")</f>
        <v>11</v>
      </c>
      <c r="D13" s="11">
        <f>COUNTIFS('작업 관리'!$B$9:$B$77,$A13,'작업 관리'!$I$9:$I$77,"보완")</f>
        <v>0</v>
      </c>
      <c r="E13" s="11">
        <f>COUNTIFS('작업 관리'!$B$9:$B$77,$A13,'작업 관리'!$I$9:$I$77,"마일스톤")</f>
        <v>0</v>
      </c>
      <c r="F13" s="11">
        <f>COUNTIFS('작업 관리'!$B$9:$B$77,$A13,'작업 관리'!$J$9:$J$77,"완료 확인")</f>
        <v>0</v>
      </c>
      <c r="G13" s="21" t="e">
        <f ca="1">_xlfn.MINIFS('작업 관리'!$E$9:$E$77,'작업 관리'!$B$9:$B$77,$A13)</f>
        <v>#NAME?</v>
      </c>
      <c r="H13" s="21" t="e">
        <f ca="1">_xlfn.MAXIFS('작업 관리'!$F$9:$F$77,'작업 관리'!$B$9:$B$77,$A13)</f>
        <v>#NAME?</v>
      </c>
    </row>
    <row r="14" spans="1:8" ht="45.75" customHeight="1">
      <c r="A14" s="17" t="s">
        <v>31</v>
      </c>
      <c r="B14" s="17" t="s">
        <v>32</v>
      </c>
      <c r="C14" s="18">
        <f>COUNTIFS('작업 관리'!$B$9:$B$77,$A14,'작업 관리'!$I$9:$I$77,"필수")</f>
        <v>12</v>
      </c>
      <c r="D14" s="18">
        <f>COUNTIFS('작업 관리'!$B$9:$B$77,$A14,'작업 관리'!$I$9:$I$77,"보완")</f>
        <v>0</v>
      </c>
      <c r="E14" s="18">
        <f>COUNTIFS('작업 관리'!$B$9:$B$77,$A14,'작업 관리'!$I$9:$I$77,"마일스톤")</f>
        <v>1</v>
      </c>
      <c r="F14" s="18">
        <f>COUNTIFS('작업 관리'!$B$9:$B$77,$A14,'작업 관리'!$J$9:$J$77,"완료 확인")</f>
        <v>0</v>
      </c>
      <c r="G14" s="19" t="e">
        <f ca="1">_xlfn.MINIFS('작업 관리'!$E$9:$E$77,'작업 관리'!$B$9:$B$77,$A14)</f>
        <v>#NAME?</v>
      </c>
      <c r="H14" s="19" t="e">
        <f ca="1">_xlfn.MAXIFS('작업 관리'!$F$9:$F$77,'작업 관리'!$B$9:$B$77,$A14)</f>
        <v>#NAME?</v>
      </c>
    </row>
    <row r="15" spans="1:8" ht="45.75" customHeight="1">
      <c r="A15" s="20" t="s">
        <v>33</v>
      </c>
      <c r="B15" s="20" t="s">
        <v>34</v>
      </c>
      <c r="C15" s="11">
        <f>COUNTIFS('작업 관리'!$B$9:$B$77,$A15,'작업 관리'!$I$9:$I$77,"필수")</f>
        <v>7</v>
      </c>
      <c r="D15" s="11">
        <f>COUNTIFS('작업 관리'!$B$9:$B$77,$A15,'작업 관리'!$I$9:$I$77,"보완")</f>
        <v>3</v>
      </c>
      <c r="E15" s="11">
        <f>COUNTIFS('작업 관리'!$B$9:$B$77,$A15,'작업 관리'!$I$9:$I$77,"마일스톤")</f>
        <v>1</v>
      </c>
      <c r="F15" s="11">
        <f>COUNTIFS('작업 관리'!$B$9:$B$77,$A15,'작업 관리'!$J$9:$J$77,"완료 확인")</f>
        <v>0</v>
      </c>
      <c r="G15" s="21" t="e">
        <f ca="1">_xlfn.MINIFS('작업 관리'!$E$9:$E$77,'작업 관리'!$B$9:$B$77,$A15)</f>
        <v>#NAME?</v>
      </c>
      <c r="H15" s="21" t="e">
        <f ca="1">_xlfn.MAXIFS('작업 관리'!$F$9:$F$77,'작업 관리'!$B$9:$B$77,$A15)</f>
        <v>#NAME?</v>
      </c>
    </row>
    <row r="16" spans="1:8" ht="45.75" customHeight="1">
      <c r="A16" s="17" t="s">
        <v>35</v>
      </c>
      <c r="B16" s="17" t="s">
        <v>36</v>
      </c>
      <c r="C16" s="18">
        <f>COUNTIFS('작업 관리'!$B$9:$B$77,$A16,'작업 관리'!$I$9:$I$77,"필수")</f>
        <v>7</v>
      </c>
      <c r="D16" s="18">
        <f>COUNTIFS('작업 관리'!$B$9:$B$77,$A16,'작업 관리'!$I$9:$I$77,"보완")</f>
        <v>0</v>
      </c>
      <c r="E16" s="18">
        <f>COUNTIFS('작업 관리'!$B$9:$B$77,$A16,'작업 관리'!$I$9:$I$77,"마일스톤")</f>
        <v>1</v>
      </c>
      <c r="F16" s="18">
        <f>COUNTIFS('작업 관리'!$B$9:$B$77,$A16,'작업 관리'!$J$9:$J$77,"완료 확인")</f>
        <v>0</v>
      </c>
      <c r="G16" s="19" t="e">
        <f ca="1">_xlfn.MINIFS('작업 관리'!$E$9:$E$77,'작업 관리'!$B$9:$B$77,$A16)</f>
        <v>#NAME?</v>
      </c>
      <c r="H16" s="19" t="e">
        <f ca="1">_xlfn.MAXIFS('작업 관리'!$F$9:$F$77,'작업 관리'!$B$9:$B$77,$A16)</f>
        <v>#NAME?</v>
      </c>
    </row>
    <row r="17" spans="1:8" ht="45.75" customHeight="1">
      <c r="A17" s="20" t="s">
        <v>37</v>
      </c>
      <c r="B17" s="20" t="s">
        <v>38</v>
      </c>
      <c r="C17" s="11">
        <f>COUNTIFS('작업 관리'!$B$9:$B$77,$A17,'작업 관리'!$I$9:$I$77,"필수")</f>
        <v>7</v>
      </c>
      <c r="D17" s="11">
        <f>COUNTIFS('작업 관리'!$B$9:$B$77,$A17,'작업 관리'!$I$9:$I$77,"보완")</f>
        <v>0</v>
      </c>
      <c r="E17" s="11">
        <f>COUNTIFS('작업 관리'!$B$9:$B$77,$A17,'작업 관리'!$I$9:$I$77,"마일스톤")</f>
        <v>1</v>
      </c>
      <c r="F17" s="11">
        <f>COUNTIFS('작업 관리'!$B$9:$B$77,$A17,'작업 관리'!$J$9:$J$77,"완료 확인")</f>
        <v>0</v>
      </c>
      <c r="G17" s="21" t="e">
        <f ca="1">_xlfn.MINIFS('작업 관리'!$E$9:$E$77,'작업 관리'!$B$9:$B$77,$A17)</f>
        <v>#NAME?</v>
      </c>
      <c r="H17" s="21" t="e">
        <f ca="1">_xlfn.MAXIFS('작업 관리'!$F$9:$F$77,'작업 관리'!$B$9:$B$77,$A17)</f>
        <v>#NAME?</v>
      </c>
    </row>
    <row r="18" spans="1:8" ht="45.75" customHeight="1">
      <c r="A18" s="17" t="s">
        <v>39</v>
      </c>
      <c r="B18" s="17" t="s">
        <v>40</v>
      </c>
      <c r="C18" s="18">
        <f>COUNTIFS('작업 관리'!$B$9:$B$77,$A18,'작업 관리'!$I$9:$I$77,"필수")</f>
        <v>5</v>
      </c>
      <c r="D18" s="18">
        <f>COUNTIFS('작업 관리'!$B$9:$B$77,$A18,'작업 관리'!$I$9:$I$77,"보완")</f>
        <v>0</v>
      </c>
      <c r="E18" s="18">
        <f>COUNTIFS('작업 관리'!$B$9:$B$77,$A18,'작업 관리'!$I$9:$I$77,"마일스톤")</f>
        <v>2</v>
      </c>
      <c r="F18" s="18">
        <f>COUNTIFS('작업 관리'!$B$9:$B$77,$A18,'작업 관리'!$J$9:$J$77,"완료 확인")</f>
        <v>0</v>
      </c>
      <c r="G18" s="19" t="e">
        <f ca="1">_xlfn.MINIFS('작업 관리'!$E$9:$E$77,'작업 관리'!$B$9:$B$77,$A18)</f>
        <v>#NAME?</v>
      </c>
      <c r="H18" s="19" t="e">
        <f ca="1">_xlfn.MAXIFS('작업 관리'!$F$9:$F$77,'작업 관리'!$B$9:$B$77,$A18)</f>
        <v>#NAME?</v>
      </c>
    </row>
    <row r="19" spans="1:8" ht="25.5" customHeight="1">
      <c r="A19" s="4"/>
      <c r="B19" s="4"/>
      <c r="C19" s="4"/>
      <c r="D19" s="4"/>
      <c r="E19" s="4"/>
      <c r="F19" s="4"/>
      <c r="G19" s="4"/>
      <c r="H19" s="4"/>
    </row>
    <row r="20" spans="1:8" ht="25.5" customHeight="1">
      <c r="A20" s="4"/>
      <c r="B20" s="4"/>
      <c r="C20" s="4"/>
      <c r="D20" s="4"/>
      <c r="E20" s="4"/>
      <c r="F20" s="4"/>
      <c r="G20" s="4"/>
      <c r="H20" s="4"/>
    </row>
    <row r="21" spans="1:8" ht="25.5" customHeight="1">
      <c r="A21" s="13" t="s">
        <v>41</v>
      </c>
      <c r="B21" s="4"/>
      <c r="C21" s="4"/>
      <c r="D21" s="4"/>
      <c r="E21" s="4"/>
      <c r="F21" s="4"/>
      <c r="G21" s="4"/>
      <c r="H21" s="4"/>
    </row>
    <row r="22" spans="1:8" ht="30.75" customHeight="1">
      <c r="A22" s="14" t="s">
        <v>42</v>
      </c>
      <c r="B22" s="15" t="s">
        <v>24</v>
      </c>
      <c r="C22" s="15" t="s">
        <v>43</v>
      </c>
      <c r="D22" s="15" t="s">
        <v>26</v>
      </c>
      <c r="E22" s="15" t="s">
        <v>6</v>
      </c>
      <c r="F22" s="15" t="s">
        <v>44</v>
      </c>
      <c r="G22" s="16" t="s">
        <v>45</v>
      </c>
      <c r="H22" s="4"/>
    </row>
    <row r="23" spans="1:8" ht="42" customHeight="1">
      <c r="A23" s="4" t="s">
        <v>46</v>
      </c>
      <c r="B23" s="17" t="str">
        <f>INDEX('작업 관리'!$C$9:$C$77,MATCH($A23,'작업 관리'!$A$9:$A$77,0))</f>
        <v>업종·데이터·모델 설계 기준 확정</v>
      </c>
      <c r="C23" s="18" t="str">
        <f>INDEX('작업 관리'!$D$9:$D$77,MATCH($A23,'작업 관리'!$A$9:$A$77,0))</f>
        <v>김동혁</v>
      </c>
      <c r="D23" s="19">
        <f>INDEX('작업 관리'!$F$9:$F$77,MATCH($A23,'작업 관리'!$A$9:$A$77,0))</f>
        <v>46318</v>
      </c>
      <c r="E23" s="22" t="str">
        <f>INDEX('작업 관리'!$G$9:$G$77,MATCH($A23,'작업 관리'!$A$9:$A$77,0))</f>
        <v>진행중</v>
      </c>
      <c r="F23" s="17" t="str">
        <f>INDEX('완료 기준'!$D$9:$D$77,MATCH($A23,'완료 기준'!$A$9:$A$77,0))</f>
        <v>1.3, 1.5, 1.6, 1.7</v>
      </c>
      <c r="G23" s="17" t="str">
        <f>INDEX('완료 기준'!$E$9:$E$77,MATCH($A23,'완료 기준'!$A$9:$A$77,0))</f>
        <v>1차 범위 결정 기록</v>
      </c>
      <c r="H23" s="4"/>
    </row>
    <row r="24" spans="1:8" ht="42" customHeight="1">
      <c r="A24" s="23" t="s">
        <v>47</v>
      </c>
      <c r="B24" s="20" t="str">
        <f>INDEX('작업 관리'!$C$9:$C$77,MATCH($A24,'작업 관리'!$A$9:$A$77,0))</f>
        <v>핵심 재무 기능 통합 완료 판단</v>
      </c>
      <c r="C24" s="11" t="str">
        <f>INDEX('작업 관리'!$D$9:$D$77,MATCH($A24,'작업 관리'!$A$9:$A$77,0))</f>
        <v>김동혁</v>
      </c>
      <c r="D24" s="21">
        <f>INDEX('작업 관리'!$F$9:$F$77,MATCH($A24,'작업 관리'!$A$9:$A$77,0))</f>
        <v>46325</v>
      </c>
      <c r="E24" s="11" t="str">
        <f>INDEX('작업 관리'!$G$9:$G$77,MATCH($A24,'작업 관리'!$A$9:$A$77,0))</f>
        <v>예정</v>
      </c>
      <c r="F24" s="20" t="str">
        <f>INDEX('완료 기준'!$D$9:$D$77,MATCH($A24,'완료 기준'!$A$9:$A$77,0))</f>
        <v>3.5, 3.7, 2.4, 3.10, 3.11, 3.12</v>
      </c>
      <c r="G24" s="20" t="str">
        <f>INDEX('완료 기준'!$E$9:$E$77,MATCH($A24,'완료 기준'!$A$9:$A$77,0))</f>
        <v>핵심 기능 확인 기록</v>
      </c>
      <c r="H24" s="4"/>
    </row>
    <row r="25" spans="1:8" ht="42" customHeight="1">
      <c r="A25" s="4" t="s">
        <v>48</v>
      </c>
      <c r="B25" s="17" t="str">
        <f>INDEX('작업 관리'!$C$9:$C$77,MATCH($A25,'작업 관리'!$A$9:$A$77,0))</f>
        <v>주석 요약 검증과 제공 형식 확정</v>
      </c>
      <c r="C25" s="18" t="str">
        <f>INDEX('작업 관리'!$D$9:$D$77,MATCH($A25,'작업 관리'!$A$9:$A$77,0))</f>
        <v>김동혁</v>
      </c>
      <c r="D25" s="19">
        <f>INDEX('작업 관리'!$F$9:$F$77,MATCH($A25,'작업 관리'!$A$9:$A$77,0))</f>
        <v>46325</v>
      </c>
      <c r="E25" s="22" t="str">
        <f>INDEX('작업 관리'!$G$9:$G$77,MATCH($A25,'작업 관리'!$A$9:$A$77,0))</f>
        <v>예정</v>
      </c>
      <c r="F25" s="17" t="str">
        <f>INDEX('완료 기준'!$D$9:$D$77,MATCH($A25,'완료 기준'!$A$9:$A$77,0))</f>
        <v>4.5, 4.6, 4.10</v>
      </c>
      <c r="G25" s="17" t="str">
        <f>INDEX('완료 기준'!$E$9:$E$77,MATCH($A25,'완료 기준'!$A$9:$A$77,0))</f>
        <v>주석 검증·제공 형식 기록</v>
      </c>
      <c r="H25" s="4"/>
    </row>
    <row r="26" spans="1:8" ht="42" customHeight="1">
      <c r="A26" s="23" t="s">
        <v>49</v>
      </c>
      <c r="B26" s="20" t="str">
        <f>INDEX('작업 관리'!$C$9:$C$77,MATCH($A26,'작업 관리'!$A$9:$A$77,0))</f>
        <v>위험 사건 모델·연동 검증 기준 고정</v>
      </c>
      <c r="C26" s="11" t="str">
        <f>INDEX('작업 관리'!$D$9:$D$77,MATCH($A26,'작업 관리'!$A$9:$A$77,0))</f>
        <v>김동혁</v>
      </c>
      <c r="D26" s="21">
        <f>INDEX('작업 관리'!$F$9:$F$77,MATCH($A26,'작업 관리'!$A$9:$A$77,0))</f>
        <v>46326</v>
      </c>
      <c r="E26" s="11" t="str">
        <f>INDEX('작업 관리'!$G$9:$G$77,MATCH($A26,'작업 관리'!$A$9:$A$77,0))</f>
        <v>예정</v>
      </c>
      <c r="F26" s="20" t="str">
        <f>INDEX('완료 기준'!$D$9:$D$77,MATCH($A26,'완료 기준'!$A$9:$A$77,0))</f>
        <v>7.2, 7.7</v>
      </c>
      <c r="G26" s="20" t="str">
        <f>INDEX('완료 기준'!$E$9:$E$77,MATCH($A26,'완료 기준'!$A$9:$A$77,0))</f>
        <v>검증 모델·연동 기준 버전</v>
      </c>
      <c r="H26" s="4"/>
    </row>
    <row r="27" spans="1:8" ht="42" customHeight="1">
      <c r="A27" s="4" t="s">
        <v>50</v>
      </c>
      <c r="B27" s="17" t="str">
        <f>INDEX('작업 관리'!$C$9:$C$77,MATCH($A27,'작업 관리'!$A$9:$A$77,0))</f>
        <v>핵심 구현과 검증 마감</v>
      </c>
      <c r="C27" s="18" t="str">
        <f>INDEX('작업 관리'!$D$9:$D$77,MATCH($A27,'작업 관리'!$A$9:$A$77,0))</f>
        <v>김동혁</v>
      </c>
      <c r="D27" s="19">
        <f>INDEX('작업 관리'!$F$9:$F$77,MATCH($A27,'작업 관리'!$A$9:$A$77,0))</f>
        <v>46328</v>
      </c>
      <c r="E27" s="22" t="str">
        <f>INDEX('작업 관리'!$G$9:$G$77,MATCH($A27,'작업 관리'!$A$9:$A$77,0))</f>
        <v>예정</v>
      </c>
      <c r="F27" s="17" t="str">
        <f>INDEX('완료 기준'!$D$9:$D$77,MATCH($A27,'완료 기준'!$A$9:$A$77,0))</f>
        <v>5.6</v>
      </c>
      <c r="G27" s="17" t="str">
        <f>INDEX('완료 기준'!$E$9:$E$77,MATCH($A27,'완료 기준'!$A$9:$A$77,0))</f>
        <v>시연 기준 버전</v>
      </c>
      <c r="H27" s="4"/>
    </row>
    <row r="28" spans="1:8" ht="42" customHeight="1">
      <c r="A28" s="23" t="s">
        <v>51</v>
      </c>
      <c r="B28" s="20" t="str">
        <f>INDEX('작업 관리'!$C$9:$C$77,MATCH($A28,'작업 관리'!$A$9:$A$77,0))</f>
        <v>최종 산출물 제출</v>
      </c>
      <c r="C28" s="11" t="str">
        <f>INDEX('작업 관리'!$D$9:$D$77,MATCH($A28,'작업 관리'!$A$9:$A$77,0))</f>
        <v>김동혁</v>
      </c>
      <c r="D28" s="21">
        <f>INDEX('작업 관리'!$F$9:$F$77,MATCH($A28,'작업 관리'!$A$9:$A$77,0))</f>
        <v>46331</v>
      </c>
      <c r="E28" s="11" t="str">
        <f>INDEX('작업 관리'!$G$9:$G$77,MATCH($A28,'작업 관리'!$A$9:$A$77,0))</f>
        <v>예정</v>
      </c>
      <c r="F28" s="20" t="str">
        <f>INDEX('완료 기준'!$D$9:$D$77,MATCH($A28,'완료 기준'!$A$9:$A$77,0))</f>
        <v>6.3, 6.4, 6.5</v>
      </c>
      <c r="G28" s="20" t="str">
        <f>INDEX('완료 기준'!$E$9:$E$77,MATCH($A28,'완료 기준'!$A$9:$A$77,0))</f>
        <v>제출 접수 확인</v>
      </c>
      <c r="H28" s="4"/>
    </row>
    <row r="29" spans="1:8" ht="42" customHeight="1">
      <c r="A29" s="4" t="s">
        <v>52</v>
      </c>
      <c r="B29" s="17" t="str">
        <f>INDEX('작업 관리'!$C$9:$C$77,MATCH($A29,'작업 관리'!$A$9:$A$77,0))</f>
        <v>프로젝트 발표</v>
      </c>
      <c r="C29" s="18" t="str">
        <f>INDEX('작업 관리'!$D$9:$D$77,MATCH($A29,'작업 관리'!$A$9:$A$77,0))</f>
        <v>오준탁</v>
      </c>
      <c r="D29" s="19">
        <f>INDEX('작업 관리'!$F$9:$F$77,MATCH($A29,'작업 관리'!$A$9:$A$77,0))</f>
        <v>46331</v>
      </c>
      <c r="E29" s="22" t="str">
        <f>INDEX('작업 관리'!$G$9:$G$77,MATCH($A29,'작업 관리'!$A$9:$A$77,0))</f>
        <v>예정</v>
      </c>
      <c r="F29" s="17" t="str">
        <f>INDEX('완료 기준'!$D$9:$D$77,MATCH($A29,'완료 기준'!$A$9:$A$77,0))</f>
        <v>6.M5</v>
      </c>
      <c r="G29" s="17" t="str">
        <f>INDEX('완료 기준'!$E$9:$E$77,MATCH($A29,'완료 기준'!$A$9:$A$77,0))</f>
        <v>발표·질의응답 기록</v>
      </c>
      <c r="H29" s="4"/>
    </row>
    <row r="30" spans="1:8" ht="25.5" customHeight="1">
      <c r="A30" s="4"/>
      <c r="B30" s="4"/>
      <c r="C30" s="4"/>
      <c r="D30" s="4"/>
      <c r="E30" s="4"/>
      <c r="F30" s="4"/>
      <c r="G30" s="4"/>
      <c r="H30" s="4"/>
    </row>
    <row r="31" spans="1:8" ht="25.5" customHeight="1">
      <c r="A31" s="4"/>
      <c r="B31" s="4"/>
      <c r="C31" s="4"/>
      <c r="D31" s="4"/>
      <c r="E31" s="4"/>
      <c r="F31" s="4"/>
      <c r="G31" s="4"/>
      <c r="H31" s="4"/>
    </row>
    <row r="32" spans="1:8" ht="25.5" customHeight="1">
      <c r="A32" s="4" t="s">
        <v>53</v>
      </c>
      <c r="B32" s="4"/>
      <c r="C32" s="4"/>
      <c r="D32" s="4"/>
      <c r="E32" s="4"/>
      <c r="F32" s="4"/>
      <c r="G32" s="4"/>
      <c r="H32" s="4"/>
    </row>
    <row r="33" spans="1:8" ht="25.5" customHeight="1">
      <c r="A33" s="4"/>
      <c r="B33" s="4"/>
      <c r="C33" s="4"/>
      <c r="D33" s="4"/>
      <c r="E33" s="4"/>
      <c r="F33" s="4"/>
      <c r="G33" s="4"/>
      <c r="H33" s="4"/>
    </row>
    <row r="34" spans="1:8" ht="25.5" customHeight="1">
      <c r="A34" s="3" t="s">
        <v>54</v>
      </c>
      <c r="B34" s="3"/>
      <c r="C34" s="3"/>
      <c r="D34" s="3"/>
      <c r="E34" s="3"/>
      <c r="F34" s="3"/>
      <c r="G34" s="3"/>
      <c r="H34" s="3"/>
    </row>
    <row r="35" spans="1:8" ht="63.75" customHeight="1">
      <c r="A35" s="2" t="s">
        <v>55</v>
      </c>
      <c r="B35" s="2"/>
      <c r="C35" s="2"/>
      <c r="D35" s="2"/>
      <c r="E35" s="2"/>
      <c r="F35" s="2"/>
      <c r="G35" s="2"/>
      <c r="H35" s="2"/>
    </row>
    <row r="36" spans="1:8" ht="25.5" customHeight="1">
      <c r="A36" s="4"/>
      <c r="B36" s="4"/>
      <c r="C36" s="4"/>
      <c r="D36" s="4"/>
      <c r="E36" s="4"/>
      <c r="F36" s="4"/>
      <c r="G36" s="4"/>
      <c r="H36" s="4"/>
    </row>
    <row r="37" spans="1:8" ht="25.5" customHeight="1">
      <c r="A37" s="3" t="s">
        <v>56</v>
      </c>
      <c r="B37" s="3"/>
      <c r="C37" s="3"/>
      <c r="D37" s="3"/>
      <c r="E37" s="3"/>
      <c r="F37" s="3"/>
      <c r="G37" s="3"/>
      <c r="H37" s="3"/>
    </row>
    <row r="38" spans="1:8" ht="63.75" customHeight="1">
      <c r="A38" s="2" t="s">
        <v>57</v>
      </c>
      <c r="B38" s="2"/>
      <c r="C38" s="2"/>
      <c r="D38" s="2"/>
      <c r="E38" s="2"/>
      <c r="F38" s="2"/>
      <c r="G38" s="2"/>
      <c r="H38" s="2"/>
    </row>
    <row r="39" spans="1:8" ht="25.5" customHeight="1">
      <c r="A39" s="4"/>
      <c r="B39" s="4"/>
      <c r="C39" s="4"/>
      <c r="D39" s="4"/>
      <c r="E39" s="4"/>
      <c r="F39" s="4"/>
      <c r="G39" s="4"/>
      <c r="H39" s="4"/>
    </row>
    <row r="40" spans="1:8" ht="25.5" customHeight="1">
      <c r="A40" s="3" t="s">
        <v>58</v>
      </c>
      <c r="B40" s="3"/>
      <c r="C40" s="3"/>
      <c r="D40" s="3"/>
      <c r="E40" s="3"/>
      <c r="F40" s="3"/>
      <c r="G40" s="3"/>
      <c r="H40" s="3"/>
    </row>
    <row r="41" spans="1:8" ht="79.5" customHeight="1">
      <c r="A41" s="2" t="s">
        <v>59</v>
      </c>
      <c r="B41" s="2"/>
      <c r="C41" s="2"/>
      <c r="D41" s="2"/>
      <c r="E41" s="2"/>
      <c r="F41" s="2"/>
      <c r="G41" s="2"/>
      <c r="H41" s="2"/>
    </row>
    <row r="42" spans="1:8" ht="25.5" customHeight="1">
      <c r="A42" s="4"/>
      <c r="B42" s="4"/>
      <c r="C42" s="4"/>
      <c r="D42" s="4"/>
      <c r="E42" s="4"/>
      <c r="F42" s="4"/>
      <c r="G42" s="4"/>
      <c r="H42" s="4"/>
    </row>
    <row r="43" spans="1:8" ht="25.5" customHeight="1">
      <c r="A43" s="3" t="s">
        <v>60</v>
      </c>
      <c r="B43" s="3"/>
      <c r="C43" s="3"/>
      <c r="D43" s="3"/>
      <c r="E43" s="3"/>
      <c r="F43" s="3"/>
      <c r="G43" s="3"/>
      <c r="H43" s="3"/>
    </row>
    <row r="44" spans="1:8" ht="63.75" customHeight="1">
      <c r="A44" s="2" t="s">
        <v>61</v>
      </c>
      <c r="B44" s="2"/>
      <c r="C44" s="2"/>
      <c r="D44" s="2"/>
      <c r="E44" s="2"/>
      <c r="F44" s="2"/>
      <c r="G44" s="2"/>
      <c r="H44" s="2"/>
    </row>
    <row r="45" spans="1:8" ht="25.5" customHeight="1">
      <c r="A45" s="4"/>
      <c r="B45" s="4"/>
      <c r="C45" s="4"/>
      <c r="D45" s="4"/>
      <c r="E45" s="4"/>
      <c r="F45" s="4"/>
      <c r="G45" s="4"/>
      <c r="H45" s="4"/>
    </row>
    <row r="46" spans="1:8" ht="25.5" customHeight="1">
      <c r="A46" s="3" t="s">
        <v>62</v>
      </c>
      <c r="B46" s="3"/>
      <c r="C46" s="3"/>
      <c r="D46" s="3"/>
      <c r="E46" s="3"/>
      <c r="F46" s="3"/>
      <c r="G46" s="3"/>
      <c r="H46" s="3"/>
    </row>
    <row r="47" spans="1:8" ht="63.75" customHeight="1">
      <c r="A47" s="2" t="s">
        <v>63</v>
      </c>
      <c r="B47" s="2"/>
      <c r="C47" s="2"/>
      <c r="D47" s="2"/>
      <c r="E47" s="2"/>
      <c r="F47" s="2"/>
      <c r="G47" s="2"/>
      <c r="H47" s="2"/>
    </row>
    <row r="48" spans="1:8" ht="25.5" customHeight="1">
      <c r="A48" s="4"/>
      <c r="B48" s="4"/>
      <c r="C48" s="4"/>
      <c r="D48" s="4"/>
      <c r="E48" s="4"/>
      <c r="F48" s="4"/>
      <c r="G48" s="4"/>
      <c r="H48" s="4"/>
    </row>
    <row r="49" spans="1:8" ht="25.5" customHeight="1">
      <c r="A49" s="3" t="s">
        <v>64</v>
      </c>
      <c r="B49" s="3"/>
      <c r="C49" s="3"/>
      <c r="D49" s="3"/>
      <c r="E49" s="3"/>
      <c r="F49" s="3"/>
      <c r="G49" s="3"/>
      <c r="H49" s="3"/>
    </row>
    <row r="50" spans="1:8" ht="63.75" customHeight="1">
      <c r="A50" s="2" t="s">
        <v>65</v>
      </c>
      <c r="B50" s="2"/>
      <c r="C50" s="2"/>
      <c r="D50" s="2"/>
      <c r="E50" s="2"/>
      <c r="F50" s="2"/>
      <c r="G50" s="2"/>
      <c r="H50" s="2"/>
    </row>
    <row r="51" spans="1:8" ht="25.5" customHeight="1">
      <c r="A51" s="4"/>
      <c r="B51" s="4"/>
      <c r="C51" s="4"/>
      <c r="D51" s="4"/>
      <c r="E51" s="4"/>
      <c r="F51" s="4"/>
      <c r="G51" s="4"/>
      <c r="H51" s="4"/>
    </row>
    <row r="52" spans="1:8" ht="25.5" customHeight="1">
      <c r="A52" s="3" t="s">
        <v>66</v>
      </c>
      <c r="B52" s="3"/>
      <c r="C52" s="3"/>
      <c r="D52" s="3"/>
      <c r="E52" s="3"/>
      <c r="F52" s="3"/>
      <c r="G52" s="3"/>
      <c r="H52" s="3"/>
    </row>
    <row r="53" spans="1:8" ht="117.75" customHeight="1">
      <c r="A53" s="1" t="s">
        <v>67</v>
      </c>
      <c r="B53" s="1"/>
      <c r="C53" s="1"/>
      <c r="D53" s="1"/>
      <c r="E53" s="1"/>
      <c r="F53" s="1"/>
      <c r="G53" s="1"/>
      <c r="H53" s="1"/>
    </row>
    <row r="54" spans="1:8" ht="25.5" customHeight="1">
      <c r="A54" s="4"/>
      <c r="B54" s="4"/>
      <c r="C54" s="4"/>
      <c r="D54" s="4"/>
      <c r="E54" s="4"/>
      <c r="F54" s="4"/>
      <c r="G54" s="4"/>
      <c r="H54" s="4"/>
    </row>
    <row r="55" spans="1:8" ht="25.5" customHeight="1">
      <c r="A55" s="3" t="s">
        <v>68</v>
      </c>
      <c r="B55" s="3"/>
      <c r="C55" s="3"/>
      <c r="D55" s="3"/>
      <c r="E55" s="3"/>
      <c r="F55" s="3"/>
      <c r="G55" s="3"/>
      <c r="H55" s="3"/>
    </row>
    <row r="56" spans="1:8" ht="63.75" customHeight="1">
      <c r="A56" s="2" t="s">
        <v>69</v>
      </c>
      <c r="B56" s="2"/>
      <c r="C56" s="2"/>
      <c r="D56" s="2"/>
      <c r="E56" s="2"/>
      <c r="F56" s="2"/>
      <c r="G56" s="2"/>
      <c r="H56" s="2"/>
    </row>
    <row r="57" spans="1:8" ht="25.5" customHeight="1">
      <c r="A57" s="4"/>
      <c r="B57" s="4"/>
      <c r="C57" s="4"/>
      <c r="D57" s="4"/>
      <c r="E57" s="4"/>
      <c r="F57" s="4"/>
      <c r="G57" s="4"/>
      <c r="H57" s="4"/>
    </row>
    <row r="58" spans="1:8" ht="25.5" customHeight="1">
      <c r="A58" s="4"/>
      <c r="B58" s="4"/>
      <c r="C58" s="4"/>
      <c r="D58" s="4"/>
      <c r="E58" s="4"/>
      <c r="F58" s="4"/>
      <c r="G58" s="4"/>
      <c r="H58" s="4"/>
    </row>
    <row r="59" spans="1:8" ht="25.5" customHeight="1">
      <c r="A59" s="4"/>
      <c r="B59" s="4"/>
      <c r="C59" s="4"/>
      <c r="D59" s="4"/>
      <c r="E59" s="4"/>
      <c r="F59" s="4"/>
      <c r="G59" s="4"/>
      <c r="H59" s="4"/>
    </row>
    <row r="60" spans="1:8" ht="25.5" customHeight="1">
      <c r="A60" s="4"/>
      <c r="B60" s="4"/>
      <c r="C60" s="4"/>
      <c r="D60" s="4"/>
      <c r="E60" s="4"/>
      <c r="F60" s="4"/>
      <c r="G60" s="4"/>
      <c r="H60" s="4"/>
    </row>
    <row r="61" spans="1:8" ht="25.5" customHeight="1">
      <c r="A61" s="4"/>
      <c r="B61" s="4"/>
      <c r="C61" s="4"/>
      <c r="D61" s="4"/>
      <c r="E61" s="4"/>
      <c r="F61" s="4"/>
      <c r="G61" s="4"/>
      <c r="H61" s="4"/>
    </row>
    <row r="62" spans="1:8" ht="25.5" customHeight="1">
      <c r="A62" s="4"/>
      <c r="B62" s="4"/>
      <c r="C62" s="4"/>
      <c r="D62" s="4"/>
      <c r="E62" s="4"/>
      <c r="F62" s="4"/>
      <c r="G62" s="4"/>
      <c r="H62" s="4"/>
    </row>
    <row r="63" spans="1:8" ht="25.5" customHeight="1">
      <c r="A63" s="4"/>
      <c r="B63" s="4"/>
      <c r="C63" s="4"/>
      <c r="D63" s="4"/>
      <c r="E63" s="4"/>
      <c r="F63" s="4"/>
      <c r="G63" s="4"/>
      <c r="H63" s="4"/>
    </row>
    <row r="64" spans="1:8" ht="25.5" customHeight="1">
      <c r="A64" s="4"/>
      <c r="B64" s="4"/>
      <c r="C64" s="4"/>
      <c r="D64" s="4"/>
      <c r="E64" s="4"/>
      <c r="F64" s="4"/>
      <c r="G64" s="4"/>
      <c r="H64" s="4"/>
    </row>
    <row r="65" spans="1:8" ht="25.5" customHeight="1">
      <c r="A65" s="4"/>
      <c r="B65" s="4"/>
      <c r="C65" s="4"/>
      <c r="D65" s="4"/>
      <c r="E65" s="4"/>
      <c r="F65" s="4"/>
      <c r="G65" s="4"/>
      <c r="H65" s="4"/>
    </row>
    <row r="66" spans="1:8" ht="25.5" customHeight="1">
      <c r="A66" s="4"/>
      <c r="B66" s="4"/>
      <c r="C66" s="4"/>
      <c r="D66" s="4"/>
      <c r="E66" s="4"/>
      <c r="F66" s="4"/>
      <c r="G66" s="4"/>
      <c r="H66" s="4"/>
    </row>
  </sheetData>
  <mergeCells count="16">
    <mergeCell ref="A56:H56"/>
    <mergeCell ref="A49:H49"/>
    <mergeCell ref="A50:H50"/>
    <mergeCell ref="A52:H52"/>
    <mergeCell ref="A53:H53"/>
    <mergeCell ref="A55:H55"/>
    <mergeCell ref="A41:H41"/>
    <mergeCell ref="A43:H43"/>
    <mergeCell ref="A44:H44"/>
    <mergeCell ref="A46:H46"/>
    <mergeCell ref="A47:H47"/>
    <mergeCell ref="A34:H34"/>
    <mergeCell ref="A35:H35"/>
    <mergeCell ref="A37:H37"/>
    <mergeCell ref="A38:H38"/>
    <mergeCell ref="A40:H40"/>
  </mergeCells>
  <phoneticPr fontId="20" type="noConversion"/>
  <conditionalFormatting sqref="E23:E29">
    <cfRule type="expression" dxfId="23" priority="2">
      <formula>$E23="완료"</formula>
    </cfRule>
    <cfRule type="expression" dxfId="22" priority="3">
      <formula>$E23="진행중"</formula>
    </cfRule>
    <cfRule type="expression" dxfId="21" priority="4">
      <formula>$E23="검토중"</formula>
    </cfRule>
    <cfRule type="expression" dxfId="20" priority="5">
      <formula>$E23="예정"</formula>
    </cfRule>
    <cfRule type="expression" dxfId="19" priority="6">
      <formula>$E23="미확인"</formula>
    </cfRule>
    <cfRule type="expression" dxfId="18" priority="7">
      <formula>$E23="보류"</formula>
    </cfRule>
    <cfRule type="expression" dxfId="17" priority="8">
      <formula>$E23="제외"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6B8C"/>
  </sheetPr>
  <dimension ref="A1:J77"/>
  <sheetViews>
    <sheetView showGridLines="0" zoomScale="85" zoomScaleNormal="85" workbookViewId="0">
      <pane xSplit="3" ySplit="8" topLeftCell="D84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ColWidth="8.6640625" defaultRowHeight="14.4"/>
  <cols>
    <col min="1" max="1" width="7.6640625" customWidth="1"/>
    <col min="2" max="2" width="17" customWidth="1"/>
    <col min="3" max="3" width="42" customWidth="1"/>
    <col min="4" max="4" width="9.6640625" customWidth="1"/>
    <col min="5" max="6" width="10" customWidth="1"/>
    <col min="7" max="7" width="10.21875" customWidth="1"/>
    <col min="8" max="8" width="9" customWidth="1"/>
    <col min="9" max="9" width="10.21875" customWidth="1"/>
    <col min="10" max="10" width="16.88671875" customWidth="1"/>
  </cols>
  <sheetData>
    <row r="1" spans="1:10" ht="13.5" customHeight="1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ht="33.75" customHeight="1">
      <c r="A2" s="5" t="s">
        <v>582</v>
      </c>
      <c r="B2" s="4"/>
      <c r="C2" s="4"/>
      <c r="D2" s="4"/>
      <c r="E2" s="4"/>
      <c r="F2" s="4"/>
      <c r="G2" s="4"/>
      <c r="H2" s="4"/>
      <c r="I2" s="4"/>
      <c r="J2" s="4"/>
    </row>
    <row r="3" spans="1:10" ht="7.5" customHeight="1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t="15" customHeight="1">
      <c r="A4" s="24" t="s">
        <v>70</v>
      </c>
      <c r="B4" s="4"/>
      <c r="C4" s="4"/>
      <c r="D4" s="4"/>
      <c r="E4" s="4"/>
      <c r="F4" s="4"/>
      <c r="G4" s="4"/>
      <c r="H4" s="4"/>
      <c r="I4" s="4"/>
      <c r="J4" s="4"/>
    </row>
    <row r="5" spans="1:10" ht="15" customHeight="1">
      <c r="A5" s="24" t="s">
        <v>71</v>
      </c>
      <c r="B5" s="4"/>
      <c r="C5" s="4"/>
      <c r="D5" s="4"/>
      <c r="E5" s="4"/>
      <c r="F5" s="4"/>
      <c r="G5" s="4"/>
      <c r="H5" s="4"/>
      <c r="I5" s="4"/>
      <c r="J5" s="4"/>
    </row>
    <row r="6" spans="1:10" ht="15" customHeight="1">
      <c r="A6" s="24" t="s">
        <v>72</v>
      </c>
      <c r="B6" s="4"/>
      <c r="C6" s="4"/>
      <c r="D6" s="4"/>
      <c r="E6" s="4"/>
      <c r="F6" s="4"/>
      <c r="G6" s="4"/>
      <c r="H6" s="4"/>
      <c r="I6" s="4"/>
      <c r="J6" s="4"/>
    </row>
    <row r="7" spans="1:10" ht="6" customHeight="1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30.75" customHeight="1">
      <c r="A8" s="14" t="s">
        <v>42</v>
      </c>
      <c r="B8" s="15" t="s">
        <v>20</v>
      </c>
      <c r="C8" s="15" t="s">
        <v>73</v>
      </c>
      <c r="D8" s="15" t="s">
        <v>74</v>
      </c>
      <c r="E8" s="15" t="s">
        <v>25</v>
      </c>
      <c r="F8" s="15" t="s">
        <v>26</v>
      </c>
      <c r="G8" s="15" t="s">
        <v>6</v>
      </c>
      <c r="H8" s="15" t="s">
        <v>75</v>
      </c>
      <c r="I8" s="15" t="s">
        <v>76</v>
      </c>
      <c r="J8" s="16" t="s">
        <v>77</v>
      </c>
    </row>
    <row r="9" spans="1:10" ht="48" customHeight="1">
      <c r="A9" s="25" t="s">
        <v>78</v>
      </c>
      <c r="B9" s="26" t="s">
        <v>27</v>
      </c>
      <c r="C9" s="27" t="s">
        <v>79</v>
      </c>
      <c r="D9" s="28" t="s">
        <v>9</v>
      </c>
      <c r="E9" s="29">
        <v>46316</v>
      </c>
      <c r="F9" s="29">
        <v>46316</v>
      </c>
      <c r="G9" s="30" t="s">
        <v>80</v>
      </c>
      <c r="H9" s="31">
        <v>1</v>
      </c>
      <c r="I9" s="28" t="s">
        <v>22</v>
      </c>
      <c r="J9" s="32" t="str">
        <f>IF(G9="완료",IF(H9&lt;&gt;1,"진행률 확인",IF(COUNTBLANK(INDEX('완료 기준'!$G$9:$G$77,MATCH($A9,'완료 기준'!$A$9:$A$77,0)))&gt;0,"완료근거 필요","완료 확인")),"")</f>
        <v>완료 확인</v>
      </c>
    </row>
    <row r="10" spans="1:10" ht="48" customHeight="1">
      <c r="A10" s="33" t="s">
        <v>81</v>
      </c>
      <c r="B10" s="34" t="s">
        <v>27</v>
      </c>
      <c r="C10" s="20" t="s">
        <v>82</v>
      </c>
      <c r="D10" s="11" t="s">
        <v>83</v>
      </c>
      <c r="E10" s="21">
        <v>46316</v>
      </c>
      <c r="F10" s="21">
        <v>46316</v>
      </c>
      <c r="G10" s="35" t="s">
        <v>80</v>
      </c>
      <c r="H10" s="36">
        <v>1</v>
      </c>
      <c r="I10" s="11" t="s">
        <v>22</v>
      </c>
      <c r="J10" s="37" t="str">
        <f>IF(G10="완료",IF(H10&lt;&gt;1,"진행률 확인",IF(COUNTBLANK(INDEX('완료 기준'!$G$9:$G$77,MATCH($A10,'완료 기준'!$A$9:$A$77,0)))&gt;0,"완료근거 필요","완료 확인")),"")</f>
        <v>완료 확인</v>
      </c>
    </row>
    <row r="11" spans="1:10" ht="48" customHeight="1">
      <c r="A11" s="38" t="s">
        <v>84</v>
      </c>
      <c r="B11" s="39" t="s">
        <v>27</v>
      </c>
      <c r="C11" s="17" t="s">
        <v>85</v>
      </c>
      <c r="D11" s="22" t="s">
        <v>9</v>
      </c>
      <c r="E11" s="19">
        <v>46317</v>
      </c>
      <c r="F11" s="19">
        <v>46317</v>
      </c>
      <c r="G11" s="35" t="s">
        <v>80</v>
      </c>
      <c r="H11" s="36">
        <v>1</v>
      </c>
      <c r="I11" s="18" t="s">
        <v>22</v>
      </c>
      <c r="J11" s="40" t="str">
        <f>IF(G11="완료",IF(H11&lt;&gt;1,"진행률 확인",IF(COUNTBLANK(INDEX('완료 기준'!$G$9:$G$77,MATCH($A11,'완료 기준'!$A$9:$A$77,0)))&gt;0,"완료근거 필요","완료 확인")),"")</f>
        <v>완료 확인</v>
      </c>
    </row>
    <row r="12" spans="1:10" ht="48" customHeight="1">
      <c r="A12" s="33" t="s">
        <v>86</v>
      </c>
      <c r="B12" s="34" t="s">
        <v>27</v>
      </c>
      <c r="C12" s="20" t="s">
        <v>87</v>
      </c>
      <c r="D12" s="11" t="s">
        <v>88</v>
      </c>
      <c r="E12" s="21">
        <v>46317</v>
      </c>
      <c r="F12" s="21">
        <v>46318</v>
      </c>
      <c r="G12" s="35" t="s">
        <v>89</v>
      </c>
      <c r="H12" s="36"/>
      <c r="I12" s="11" t="s">
        <v>22</v>
      </c>
      <c r="J12" s="37" t="str">
        <f>IF(G12="완료",IF(H12&lt;&gt;1,"진행률 확인",IF(COUNTBLANK(INDEX('완료 기준'!$G$9:$G$77,MATCH($A12,'완료 기준'!$A$9:$A$77,0)))&gt;0,"완료근거 필요","완료 확인")),"")</f>
        <v/>
      </c>
    </row>
    <row r="13" spans="1:10" ht="48" customHeight="1">
      <c r="A13" s="38" t="s">
        <v>90</v>
      </c>
      <c r="B13" s="39" t="s">
        <v>27</v>
      </c>
      <c r="C13" s="17" t="s">
        <v>91</v>
      </c>
      <c r="D13" s="22" t="s">
        <v>83</v>
      </c>
      <c r="E13" s="19">
        <v>46317</v>
      </c>
      <c r="F13" s="19">
        <v>46318</v>
      </c>
      <c r="G13" s="35" t="s">
        <v>80</v>
      </c>
      <c r="H13" s="36">
        <v>1</v>
      </c>
      <c r="I13" s="18" t="s">
        <v>22</v>
      </c>
      <c r="J13" s="40" t="str">
        <f>IF(G13="완료",IF(H13&lt;&gt;1,"진행률 확인",IF(COUNTBLANK(INDEX('완료 기준'!$G$9:$G$77,MATCH($A13,'완료 기준'!$A$9:$A$77,0)))&gt;0,"완료근거 필요","완료 확인")),"")</f>
        <v>완료 확인</v>
      </c>
    </row>
    <row r="14" spans="1:10" ht="48" customHeight="1">
      <c r="A14" s="33" t="s">
        <v>92</v>
      </c>
      <c r="B14" s="34" t="s">
        <v>27</v>
      </c>
      <c r="C14" s="20" t="s">
        <v>93</v>
      </c>
      <c r="D14" s="11" t="s">
        <v>9</v>
      </c>
      <c r="E14" s="21">
        <v>46317</v>
      </c>
      <c r="F14" s="21">
        <v>46318</v>
      </c>
      <c r="G14" s="35" t="s">
        <v>80</v>
      </c>
      <c r="H14" s="36">
        <v>1</v>
      </c>
      <c r="I14" s="11" t="s">
        <v>22</v>
      </c>
      <c r="J14" s="37" t="str">
        <f>IF(G14="완료",IF(H14&lt;&gt;1,"진행률 확인",IF(COUNTBLANK(INDEX('완료 기준'!$G$9:$G$77,MATCH($A14,'완료 기준'!$A$9:$A$77,0)))&gt;0,"완료근거 필요","완료 확인")),"")</f>
        <v>완료 확인</v>
      </c>
    </row>
    <row r="15" spans="1:10" ht="48" customHeight="1">
      <c r="A15" s="38" t="s">
        <v>94</v>
      </c>
      <c r="B15" s="39" t="s">
        <v>27</v>
      </c>
      <c r="C15" s="17" t="s">
        <v>95</v>
      </c>
      <c r="D15" s="22" t="s">
        <v>83</v>
      </c>
      <c r="E15" s="19">
        <v>46317</v>
      </c>
      <c r="F15" s="19">
        <v>46318</v>
      </c>
      <c r="G15" s="35" t="s">
        <v>89</v>
      </c>
      <c r="H15" s="36"/>
      <c r="I15" s="18" t="s">
        <v>22</v>
      </c>
      <c r="J15" s="40" t="str">
        <f>IF(G15="완료",IF(H15&lt;&gt;1,"진행률 확인",IF(COUNTBLANK(INDEX('완료 기준'!$G$9:$G$77,MATCH($A15,'완료 기준'!$A$9:$A$77,0)))&gt;0,"완료근거 필요","완료 확인")),"")</f>
        <v/>
      </c>
    </row>
    <row r="16" spans="1:10" ht="48" customHeight="1">
      <c r="A16" s="33" t="s">
        <v>96</v>
      </c>
      <c r="B16" s="34" t="s">
        <v>27</v>
      </c>
      <c r="C16" s="20" t="s">
        <v>97</v>
      </c>
      <c r="D16" s="11" t="s">
        <v>98</v>
      </c>
      <c r="E16" s="21">
        <v>46318</v>
      </c>
      <c r="F16" s="21">
        <v>46318</v>
      </c>
      <c r="G16" s="35" t="s">
        <v>18</v>
      </c>
      <c r="H16" s="36"/>
      <c r="I16" s="11" t="s">
        <v>22</v>
      </c>
      <c r="J16" s="37" t="str">
        <f>IF(G16="완료",IF(H16&lt;&gt;1,"진행률 확인",IF(COUNTBLANK(INDEX('완료 기준'!$G$9:$G$77,MATCH($A16,'완료 기준'!$A$9:$A$77,0)))&gt;0,"완료근거 필요","완료 확인")),"")</f>
        <v/>
      </c>
    </row>
    <row r="17" spans="1:10" ht="48" customHeight="1">
      <c r="A17" s="38" t="s">
        <v>46</v>
      </c>
      <c r="B17" s="39" t="s">
        <v>27</v>
      </c>
      <c r="C17" s="17" t="s">
        <v>99</v>
      </c>
      <c r="D17" s="22" t="s">
        <v>9</v>
      </c>
      <c r="E17" s="19">
        <v>46318</v>
      </c>
      <c r="F17" s="19">
        <v>46318</v>
      </c>
      <c r="G17" s="35" t="s">
        <v>89</v>
      </c>
      <c r="H17" s="36"/>
      <c r="I17" s="18" t="s">
        <v>24</v>
      </c>
      <c r="J17" s="40" t="str">
        <f>IF(G17="완료",IF(H17&lt;&gt;1,"진행률 확인",IF(COUNTBLANK(INDEX('완료 기준'!$G$9:$G$77,MATCH($A17,'완료 기준'!$A$9:$A$77,0)))&gt;0,"완료근거 필요","완료 확인")),"")</f>
        <v/>
      </c>
    </row>
    <row r="18" spans="1:10" ht="48" customHeight="1">
      <c r="A18" s="41" t="s">
        <v>100</v>
      </c>
      <c r="B18" s="42" t="s">
        <v>27</v>
      </c>
      <c r="C18" s="43" t="s">
        <v>101</v>
      </c>
      <c r="D18" s="44" t="s">
        <v>9</v>
      </c>
      <c r="E18" s="45">
        <v>46319</v>
      </c>
      <c r="F18" s="45">
        <v>46319</v>
      </c>
      <c r="G18" s="30" t="s">
        <v>89</v>
      </c>
      <c r="H18" s="31"/>
      <c r="I18" s="44" t="s">
        <v>22</v>
      </c>
      <c r="J18" s="46" t="str">
        <f>IF(G18="완료",IF(H18&lt;&gt;1,"진행률 확인",IF(COUNTBLANK(INDEX('완료 기준'!$G$9:$G$77,MATCH($A18,'완료 기준'!$A$9:$A$77,0)))&gt;0,"완료근거 필요","완료 확인")),"")</f>
        <v/>
      </c>
    </row>
    <row r="19" spans="1:10" ht="48" customHeight="1">
      <c r="A19" s="38" t="s">
        <v>102</v>
      </c>
      <c r="B19" s="39" t="s">
        <v>27</v>
      </c>
      <c r="C19" s="17" t="s">
        <v>103</v>
      </c>
      <c r="D19" s="22" t="s">
        <v>83</v>
      </c>
      <c r="E19" s="19">
        <v>46319</v>
      </c>
      <c r="F19" s="19">
        <v>46321</v>
      </c>
      <c r="G19" s="35" t="s">
        <v>18</v>
      </c>
      <c r="H19" s="36"/>
      <c r="I19" s="18" t="s">
        <v>22</v>
      </c>
      <c r="J19" s="40" t="str">
        <f>IF(G19="완료",IF(H19&lt;&gt;1,"진행률 확인",IF(COUNTBLANK(INDEX('완료 기준'!$G$9:$G$77,MATCH($A19,'완료 기준'!$A$9:$A$77,0)))&gt;0,"완료근거 필요","완료 확인")),"")</f>
        <v/>
      </c>
    </row>
    <row r="20" spans="1:10" ht="48" customHeight="1">
      <c r="A20" s="33" t="s">
        <v>104</v>
      </c>
      <c r="B20" s="34" t="s">
        <v>29</v>
      </c>
      <c r="C20" s="20" t="s">
        <v>105</v>
      </c>
      <c r="D20" s="11" t="s">
        <v>9</v>
      </c>
      <c r="E20" s="21">
        <v>46318</v>
      </c>
      <c r="F20" s="21">
        <v>46319</v>
      </c>
      <c r="G20" s="35" t="s">
        <v>18</v>
      </c>
      <c r="H20" s="36"/>
      <c r="I20" s="11" t="s">
        <v>22</v>
      </c>
      <c r="J20" s="37" t="str">
        <f>IF(G20="완료",IF(H20&lt;&gt;1,"진행률 확인",IF(COUNTBLANK(INDEX('완료 기준'!$G$9:$G$77,MATCH($A20,'완료 기준'!$A$9:$A$77,0)))&gt;0,"완료근거 필요","완료 확인")),"")</f>
        <v/>
      </c>
    </row>
    <row r="21" spans="1:10" ht="48" customHeight="1">
      <c r="A21" s="38" t="s">
        <v>106</v>
      </c>
      <c r="B21" s="39" t="s">
        <v>29</v>
      </c>
      <c r="C21" s="17" t="s">
        <v>107</v>
      </c>
      <c r="D21" s="22" t="s">
        <v>9</v>
      </c>
      <c r="E21" s="19">
        <v>46319</v>
      </c>
      <c r="F21" s="19">
        <v>46320</v>
      </c>
      <c r="G21" s="35" t="s">
        <v>89</v>
      </c>
      <c r="H21" s="36"/>
      <c r="I21" s="18" t="s">
        <v>22</v>
      </c>
      <c r="J21" s="40" t="str">
        <f>IF(G21="완료",IF(H21&lt;&gt;1,"진행률 확인",IF(COUNTBLANK(INDEX('완료 기준'!$G$9:$G$77,MATCH($A21,'완료 기준'!$A$9:$A$77,0)))&gt;0,"완료근거 필요","완료 확인")),"")</f>
        <v/>
      </c>
    </row>
    <row r="22" spans="1:10" ht="48" customHeight="1">
      <c r="A22" s="33" t="s">
        <v>108</v>
      </c>
      <c r="B22" s="34" t="s">
        <v>29</v>
      </c>
      <c r="C22" s="20" t="s">
        <v>109</v>
      </c>
      <c r="D22" s="11" t="s">
        <v>88</v>
      </c>
      <c r="E22" s="21">
        <v>46319</v>
      </c>
      <c r="F22" s="21">
        <v>46320</v>
      </c>
      <c r="G22" s="35" t="s">
        <v>89</v>
      </c>
      <c r="H22" s="36"/>
      <c r="I22" s="11" t="s">
        <v>22</v>
      </c>
      <c r="J22" s="37" t="str">
        <f>IF(G22="완료",IF(H22&lt;&gt;1,"진행률 확인",IF(COUNTBLANK(INDEX('완료 기준'!$G$9:$G$77,MATCH($A22,'완료 기준'!$A$9:$A$77,0)))&gt;0,"완료근거 필요","완료 확인")),"")</f>
        <v/>
      </c>
    </row>
    <row r="23" spans="1:10" ht="48" customHeight="1">
      <c r="A23" s="38" t="s">
        <v>110</v>
      </c>
      <c r="B23" s="39" t="s">
        <v>29</v>
      </c>
      <c r="C23" s="17" t="s">
        <v>111</v>
      </c>
      <c r="D23" s="22" t="s">
        <v>9</v>
      </c>
      <c r="E23" s="19">
        <v>46319</v>
      </c>
      <c r="F23" s="19">
        <v>46320</v>
      </c>
      <c r="G23" s="35" t="s">
        <v>18</v>
      </c>
      <c r="H23" s="36"/>
      <c r="I23" s="18" t="s">
        <v>22</v>
      </c>
      <c r="J23" s="40" t="str">
        <f>IF(G23="완료",IF(H23&lt;&gt;1,"진행률 확인",IF(COUNTBLANK(INDEX('완료 기준'!$G$9:$G$77,MATCH($A23,'완료 기준'!$A$9:$A$77,0)))&gt;0,"완료근거 필요","완료 확인")),"")</f>
        <v/>
      </c>
    </row>
    <row r="24" spans="1:10" ht="48" customHeight="1">
      <c r="A24" s="33" t="s">
        <v>112</v>
      </c>
      <c r="B24" s="34" t="s">
        <v>29</v>
      </c>
      <c r="C24" s="20" t="s">
        <v>113</v>
      </c>
      <c r="D24" s="11" t="s">
        <v>98</v>
      </c>
      <c r="E24" s="21">
        <v>46319</v>
      </c>
      <c r="F24" s="21">
        <v>46321</v>
      </c>
      <c r="G24" s="35" t="s">
        <v>18</v>
      </c>
      <c r="H24" s="36"/>
      <c r="I24" s="11" t="s">
        <v>22</v>
      </c>
      <c r="J24" s="37" t="str">
        <f>IF(G24="완료",IF(H24&lt;&gt;1,"진행률 확인",IF(COUNTBLANK(INDEX('완료 기준'!$G$9:$G$77,MATCH($A24,'완료 기준'!$A$9:$A$77,0)))&gt;0,"완료근거 필요","완료 확인")),"")</f>
        <v/>
      </c>
    </row>
    <row r="25" spans="1:10" ht="48" customHeight="1">
      <c r="A25" s="38" t="s">
        <v>114</v>
      </c>
      <c r="B25" s="39" t="s">
        <v>29</v>
      </c>
      <c r="C25" s="17" t="s">
        <v>115</v>
      </c>
      <c r="D25" s="22" t="s">
        <v>9</v>
      </c>
      <c r="E25" s="19">
        <v>46320</v>
      </c>
      <c r="F25" s="19">
        <v>46320</v>
      </c>
      <c r="G25" s="35" t="s">
        <v>89</v>
      </c>
      <c r="H25" s="36"/>
      <c r="I25" s="18" t="s">
        <v>22</v>
      </c>
      <c r="J25" s="40" t="str">
        <f>IF(G25="완료",IF(H25&lt;&gt;1,"진행률 확인",IF(COUNTBLANK(INDEX('완료 기준'!$G$9:$G$77,MATCH($A25,'완료 기준'!$A$9:$A$77,0)))&gt;0,"완료근거 필요","완료 확인")),"")</f>
        <v/>
      </c>
    </row>
    <row r="26" spans="1:10" ht="48" customHeight="1">
      <c r="A26" s="33" t="s">
        <v>116</v>
      </c>
      <c r="B26" s="34" t="s">
        <v>29</v>
      </c>
      <c r="C26" s="20" t="s">
        <v>117</v>
      </c>
      <c r="D26" s="11" t="s">
        <v>88</v>
      </c>
      <c r="E26" s="21">
        <v>46320</v>
      </c>
      <c r="F26" s="21">
        <v>46321</v>
      </c>
      <c r="G26" s="35" t="s">
        <v>89</v>
      </c>
      <c r="H26" s="36"/>
      <c r="I26" s="11" t="s">
        <v>22</v>
      </c>
      <c r="J26" s="37" t="str">
        <f>IF(G26="완료",IF(H26&lt;&gt;1,"진행률 확인",IF(COUNTBLANK(INDEX('완료 기준'!$G$9:$G$77,MATCH($A26,'완료 기준'!$A$9:$A$77,0)))&gt;0,"완료근거 필요","완료 확인")),"")</f>
        <v/>
      </c>
    </row>
    <row r="27" spans="1:10" ht="48" customHeight="1">
      <c r="A27" s="25" t="s">
        <v>118</v>
      </c>
      <c r="B27" s="26" t="s">
        <v>29</v>
      </c>
      <c r="C27" s="27" t="s">
        <v>119</v>
      </c>
      <c r="D27" s="28" t="s">
        <v>88</v>
      </c>
      <c r="E27" s="29">
        <v>46320</v>
      </c>
      <c r="F27" s="29">
        <v>46321</v>
      </c>
      <c r="G27" s="30" t="s">
        <v>18</v>
      </c>
      <c r="H27" s="31"/>
      <c r="I27" s="28" t="s">
        <v>22</v>
      </c>
      <c r="J27" s="32" t="str">
        <f>IF(G27="완료",IF(H27&lt;&gt;1,"진행률 확인",IF(COUNTBLANK(INDEX('완료 기준'!$G$9:$G$77,MATCH($A27,'완료 기준'!$A$9:$A$77,0)))&gt;0,"완료근거 필요","완료 확인")),"")</f>
        <v/>
      </c>
    </row>
    <row r="28" spans="1:10" ht="48" customHeight="1">
      <c r="A28" s="33" t="s">
        <v>120</v>
      </c>
      <c r="B28" s="34" t="s">
        <v>29</v>
      </c>
      <c r="C28" s="20" t="s">
        <v>121</v>
      </c>
      <c r="D28" s="11" t="s">
        <v>9</v>
      </c>
      <c r="E28" s="21">
        <v>46320</v>
      </c>
      <c r="F28" s="21">
        <v>46321</v>
      </c>
      <c r="G28" s="35" t="s">
        <v>18</v>
      </c>
      <c r="H28" s="36"/>
      <c r="I28" s="11" t="s">
        <v>22</v>
      </c>
      <c r="J28" s="37" t="str">
        <f>IF(G28="완료",IF(H28&lt;&gt;1,"진행률 확인",IF(COUNTBLANK(INDEX('완료 기준'!$G$9:$G$77,MATCH($A28,'완료 기준'!$A$9:$A$77,0)))&gt;0,"완료근거 필요","완료 확인")),"")</f>
        <v/>
      </c>
    </row>
    <row r="29" spans="1:10" ht="48" customHeight="1">
      <c r="A29" s="38" t="s">
        <v>122</v>
      </c>
      <c r="B29" s="39" t="s">
        <v>29</v>
      </c>
      <c r="C29" s="17" t="s">
        <v>123</v>
      </c>
      <c r="D29" s="22" t="s">
        <v>88</v>
      </c>
      <c r="E29" s="19">
        <v>46321</v>
      </c>
      <c r="F29" s="19">
        <v>46321</v>
      </c>
      <c r="G29" s="35" t="s">
        <v>89</v>
      </c>
      <c r="H29" s="36"/>
      <c r="I29" s="18" t="s">
        <v>22</v>
      </c>
      <c r="J29" s="40" t="str">
        <f>IF(G29="완료",IF(H29&lt;&gt;1,"진행률 확인",IF(COUNTBLANK(INDEX('완료 기준'!$G$9:$G$77,MATCH($A29,'완료 기준'!$A$9:$A$77,0)))&gt;0,"완료근거 필요","완료 확인")),"")</f>
        <v/>
      </c>
    </row>
    <row r="30" spans="1:10" ht="48" customHeight="1">
      <c r="A30" s="33" t="s">
        <v>124</v>
      </c>
      <c r="B30" s="34" t="s">
        <v>29</v>
      </c>
      <c r="C30" s="20" t="s">
        <v>125</v>
      </c>
      <c r="D30" s="11" t="s">
        <v>88</v>
      </c>
      <c r="E30" s="21">
        <v>46322</v>
      </c>
      <c r="F30" s="21">
        <v>46323</v>
      </c>
      <c r="G30" s="35" t="s">
        <v>89</v>
      </c>
      <c r="H30" s="36"/>
      <c r="I30" s="11" t="s">
        <v>22</v>
      </c>
      <c r="J30" s="37" t="str">
        <f>IF(G30="완료",IF(H30&lt;&gt;1,"진행률 확인",IF(COUNTBLANK(INDEX('완료 기준'!$G$9:$G$77,MATCH($A30,'완료 기준'!$A$9:$A$77,0)))&gt;0,"완료근거 필요","완료 확인")),"")</f>
        <v/>
      </c>
    </row>
    <row r="31" spans="1:10" ht="48" customHeight="1">
      <c r="A31" s="38" t="s">
        <v>126</v>
      </c>
      <c r="B31" s="39" t="s">
        <v>31</v>
      </c>
      <c r="C31" s="17" t="s">
        <v>127</v>
      </c>
      <c r="D31" s="22" t="s">
        <v>128</v>
      </c>
      <c r="E31" s="19">
        <v>46319</v>
      </c>
      <c r="F31" s="19">
        <v>46319</v>
      </c>
      <c r="G31" s="35" t="s">
        <v>89</v>
      </c>
      <c r="H31" s="36"/>
      <c r="I31" s="18" t="s">
        <v>22</v>
      </c>
      <c r="J31" s="40" t="str">
        <f>IF(G31="완료",IF(H31&lt;&gt;1,"진행률 확인",IF(COUNTBLANK(INDEX('완료 기준'!$G$9:$G$77,MATCH($A31,'완료 기준'!$A$9:$A$77,0)))&gt;0,"완료근거 필요","완료 확인")),"")</f>
        <v/>
      </c>
    </row>
    <row r="32" spans="1:10" ht="48" customHeight="1">
      <c r="A32" s="33" t="s">
        <v>129</v>
      </c>
      <c r="B32" s="34" t="s">
        <v>31</v>
      </c>
      <c r="C32" s="20" t="s">
        <v>130</v>
      </c>
      <c r="D32" s="11" t="s">
        <v>88</v>
      </c>
      <c r="E32" s="21">
        <v>46319</v>
      </c>
      <c r="F32" s="21">
        <v>46321</v>
      </c>
      <c r="G32" s="35" t="s">
        <v>89</v>
      </c>
      <c r="H32" s="36"/>
      <c r="I32" s="11" t="s">
        <v>22</v>
      </c>
      <c r="J32" s="37" t="str">
        <f>IF(G32="완료",IF(H32&lt;&gt;1,"진행률 확인",IF(COUNTBLANK(INDEX('완료 기준'!$G$9:$G$77,MATCH($A32,'완료 기준'!$A$9:$A$77,0)))&gt;0,"완료근거 필요","완료 확인")),"")</f>
        <v/>
      </c>
    </row>
    <row r="33" spans="1:10" ht="48" customHeight="1">
      <c r="A33" s="38" t="s">
        <v>131</v>
      </c>
      <c r="B33" s="39" t="s">
        <v>31</v>
      </c>
      <c r="C33" s="17" t="s">
        <v>132</v>
      </c>
      <c r="D33" s="22" t="s">
        <v>128</v>
      </c>
      <c r="E33" s="19">
        <v>46319</v>
      </c>
      <c r="F33" s="19">
        <v>46320</v>
      </c>
      <c r="G33" s="35" t="s">
        <v>18</v>
      </c>
      <c r="H33" s="36"/>
      <c r="I33" s="18" t="s">
        <v>22</v>
      </c>
      <c r="J33" s="40" t="str">
        <f>IF(G33="완료",IF(H33&lt;&gt;1,"진행률 확인",IF(COUNTBLANK(INDEX('완료 기준'!$G$9:$G$77,MATCH($A33,'완료 기준'!$A$9:$A$77,0)))&gt;0,"완료근거 필요","완료 확인")),"")</f>
        <v/>
      </c>
    </row>
    <row r="34" spans="1:10" ht="48" customHeight="1">
      <c r="A34" s="33" t="s">
        <v>133</v>
      </c>
      <c r="B34" s="34" t="s">
        <v>31</v>
      </c>
      <c r="C34" s="20" t="s">
        <v>134</v>
      </c>
      <c r="D34" s="11" t="s">
        <v>128</v>
      </c>
      <c r="E34" s="21">
        <v>46320</v>
      </c>
      <c r="F34" s="21">
        <v>46321</v>
      </c>
      <c r="G34" s="35" t="s">
        <v>18</v>
      </c>
      <c r="H34" s="36"/>
      <c r="I34" s="11" t="s">
        <v>22</v>
      </c>
      <c r="J34" s="37" t="str">
        <f>IF(G34="완료",IF(H34&lt;&gt;1,"진행률 확인",IF(COUNTBLANK(INDEX('완료 기준'!$G$9:$G$77,MATCH($A34,'완료 기준'!$A$9:$A$77,0)))&gt;0,"완료근거 필요","완료 확인")),"")</f>
        <v/>
      </c>
    </row>
    <row r="35" spans="1:10" ht="48" customHeight="1">
      <c r="A35" s="25" t="s">
        <v>135</v>
      </c>
      <c r="B35" s="26" t="s">
        <v>31</v>
      </c>
      <c r="C35" s="27" t="s">
        <v>136</v>
      </c>
      <c r="D35" s="28" t="s">
        <v>88</v>
      </c>
      <c r="E35" s="29">
        <v>46321</v>
      </c>
      <c r="F35" s="29">
        <v>46321</v>
      </c>
      <c r="G35" s="30" t="s">
        <v>18</v>
      </c>
      <c r="H35" s="31"/>
      <c r="I35" s="28" t="s">
        <v>22</v>
      </c>
      <c r="J35" s="32" t="str">
        <f>IF(G35="완료",IF(H35&lt;&gt;1,"진행률 확인",IF(COUNTBLANK(INDEX('완료 기준'!$G$9:$G$77,MATCH($A35,'완료 기준'!$A$9:$A$77,0)))&gt;0,"완료근거 필요","완료 확인")),"")</f>
        <v/>
      </c>
    </row>
    <row r="36" spans="1:10" ht="48" customHeight="1">
      <c r="A36" s="33" t="s">
        <v>137</v>
      </c>
      <c r="B36" s="34" t="s">
        <v>31</v>
      </c>
      <c r="C36" s="20" t="s">
        <v>138</v>
      </c>
      <c r="D36" s="11" t="s">
        <v>128</v>
      </c>
      <c r="E36" s="21">
        <v>46322</v>
      </c>
      <c r="F36" s="21">
        <v>46323</v>
      </c>
      <c r="G36" s="35" t="s">
        <v>18</v>
      </c>
      <c r="H36" s="36"/>
      <c r="I36" s="11" t="s">
        <v>22</v>
      </c>
      <c r="J36" s="37" t="str">
        <f>IF(G36="완료",IF(H36&lt;&gt;1,"진행률 확인",IF(COUNTBLANK(INDEX('완료 기준'!$G$9:$G$77,MATCH($A36,'완료 기준'!$A$9:$A$77,0)))&gt;0,"완료근거 필요","완료 확인")),"")</f>
        <v/>
      </c>
    </row>
    <row r="37" spans="1:10" ht="48" customHeight="1">
      <c r="A37" s="38" t="s">
        <v>139</v>
      </c>
      <c r="B37" s="39" t="s">
        <v>31</v>
      </c>
      <c r="C37" s="17" t="s">
        <v>140</v>
      </c>
      <c r="D37" s="22" t="s">
        <v>83</v>
      </c>
      <c r="E37" s="19">
        <v>46322</v>
      </c>
      <c r="F37" s="19">
        <v>46323</v>
      </c>
      <c r="G37" s="35" t="s">
        <v>89</v>
      </c>
      <c r="H37" s="36"/>
      <c r="I37" s="18" t="s">
        <v>22</v>
      </c>
      <c r="J37" s="40" t="str">
        <f>IF(G37="완료",IF(H37&lt;&gt;1,"진행률 확인",IF(COUNTBLANK(INDEX('완료 기준'!$G$9:$G$77,MATCH($A37,'완료 기준'!$A$9:$A$77,0)))&gt;0,"완료근거 필요","완료 확인")),"")</f>
        <v/>
      </c>
    </row>
    <row r="38" spans="1:10" ht="48" customHeight="1">
      <c r="A38" s="33" t="s">
        <v>141</v>
      </c>
      <c r="B38" s="34" t="s">
        <v>31</v>
      </c>
      <c r="C38" s="20" t="s">
        <v>142</v>
      </c>
      <c r="D38" s="11" t="s">
        <v>88</v>
      </c>
      <c r="E38" s="21">
        <v>46322</v>
      </c>
      <c r="F38" s="21">
        <v>46323</v>
      </c>
      <c r="G38" s="35" t="s">
        <v>18</v>
      </c>
      <c r="H38" s="36"/>
      <c r="I38" s="11" t="s">
        <v>22</v>
      </c>
      <c r="J38" s="37" t="str">
        <f>IF(G38="완료",IF(H38&lt;&gt;1,"진행률 확인",IF(COUNTBLANK(INDEX('완료 기준'!$G$9:$G$77,MATCH($A38,'완료 기준'!$A$9:$A$77,0)))&gt;0,"완료근거 필요","완료 확인")),"")</f>
        <v/>
      </c>
    </row>
    <row r="39" spans="1:10" ht="48" customHeight="1">
      <c r="A39" s="38" t="s">
        <v>143</v>
      </c>
      <c r="B39" s="39" t="s">
        <v>31</v>
      </c>
      <c r="C39" s="17" t="s">
        <v>144</v>
      </c>
      <c r="D39" s="22" t="s">
        <v>128</v>
      </c>
      <c r="E39" s="19">
        <v>46322</v>
      </c>
      <c r="F39" s="19">
        <v>46323</v>
      </c>
      <c r="G39" s="35" t="s">
        <v>18</v>
      </c>
      <c r="H39" s="36"/>
      <c r="I39" s="18" t="s">
        <v>22</v>
      </c>
      <c r="J39" s="40" t="str">
        <f>IF(G39="완료",IF(H39&lt;&gt;1,"진행률 확인",IF(COUNTBLANK(INDEX('완료 기준'!$G$9:$G$77,MATCH($A39,'완료 기준'!$A$9:$A$77,0)))&gt;0,"완료근거 필요","완료 확인")),"")</f>
        <v/>
      </c>
    </row>
    <row r="40" spans="1:10" ht="48" customHeight="1">
      <c r="A40" s="33" t="s">
        <v>145</v>
      </c>
      <c r="B40" s="34" t="s">
        <v>31</v>
      </c>
      <c r="C40" s="20" t="s">
        <v>146</v>
      </c>
      <c r="D40" s="11" t="s">
        <v>128</v>
      </c>
      <c r="E40" s="21">
        <v>46323</v>
      </c>
      <c r="F40" s="21">
        <v>46325</v>
      </c>
      <c r="G40" s="35" t="s">
        <v>18</v>
      </c>
      <c r="H40" s="36"/>
      <c r="I40" s="11" t="s">
        <v>22</v>
      </c>
      <c r="J40" s="37" t="str">
        <f>IF(G40="완료",IF(H40&lt;&gt;1,"진행률 확인",IF(COUNTBLANK(INDEX('완료 기준'!$G$9:$G$77,MATCH($A40,'완료 기준'!$A$9:$A$77,0)))&gt;0,"완료근거 필요","완료 확인")),"")</f>
        <v/>
      </c>
    </row>
    <row r="41" spans="1:10" ht="48" customHeight="1">
      <c r="A41" s="38" t="s">
        <v>147</v>
      </c>
      <c r="B41" s="39" t="s">
        <v>31</v>
      </c>
      <c r="C41" s="17" t="s">
        <v>148</v>
      </c>
      <c r="D41" s="22" t="s">
        <v>88</v>
      </c>
      <c r="E41" s="19">
        <v>46324</v>
      </c>
      <c r="F41" s="19">
        <v>46325</v>
      </c>
      <c r="G41" s="35" t="s">
        <v>18</v>
      </c>
      <c r="H41" s="36"/>
      <c r="I41" s="18" t="s">
        <v>22</v>
      </c>
      <c r="J41" s="40" t="str">
        <f>IF(G41="완료",IF(H41&lt;&gt;1,"진행률 확인",IF(COUNTBLANK(INDEX('완료 기준'!$G$9:$G$77,MATCH($A41,'완료 기준'!$A$9:$A$77,0)))&gt;0,"완료근거 필요","완료 확인")),"")</f>
        <v/>
      </c>
    </row>
    <row r="42" spans="1:10" ht="48" customHeight="1">
      <c r="A42" s="33" t="s">
        <v>149</v>
      </c>
      <c r="B42" s="34" t="s">
        <v>31</v>
      </c>
      <c r="C42" s="20" t="s">
        <v>150</v>
      </c>
      <c r="D42" s="11" t="s">
        <v>128</v>
      </c>
      <c r="E42" s="21">
        <v>46324</v>
      </c>
      <c r="F42" s="21">
        <v>46325</v>
      </c>
      <c r="G42" s="35" t="s">
        <v>18</v>
      </c>
      <c r="H42" s="36"/>
      <c r="I42" s="11" t="s">
        <v>22</v>
      </c>
      <c r="J42" s="37" t="str">
        <f>IF(G42="완료",IF(H42&lt;&gt;1,"진행률 확인",IF(COUNTBLANK(INDEX('완료 기준'!$G$9:$G$77,MATCH($A42,'완료 기준'!$A$9:$A$77,0)))&gt;0,"완료근거 필요","완료 확인")),"")</f>
        <v/>
      </c>
    </row>
    <row r="43" spans="1:10" ht="48" customHeight="1">
      <c r="A43" s="25" t="s">
        <v>47</v>
      </c>
      <c r="B43" s="47" t="s">
        <v>31</v>
      </c>
      <c r="C43" s="27" t="s">
        <v>151</v>
      </c>
      <c r="D43" s="28" t="s">
        <v>9</v>
      </c>
      <c r="E43" s="29">
        <v>46325</v>
      </c>
      <c r="F43" s="29">
        <v>46325</v>
      </c>
      <c r="G43" s="30" t="s">
        <v>18</v>
      </c>
      <c r="H43" s="31"/>
      <c r="I43" s="28" t="s">
        <v>24</v>
      </c>
      <c r="J43" s="32" t="str">
        <f>IF(G43="완료",IF(H43&lt;&gt;1,"진행률 확인",IF(COUNTBLANK(INDEX('완료 기준'!$G$9:$G$77,MATCH($A43,'완료 기준'!$A$9:$A$77,0)))&gt;0,"완료근거 필요","완료 확인")),"")</f>
        <v/>
      </c>
    </row>
    <row r="44" spans="1:10" ht="48" customHeight="1">
      <c r="A44" s="33" t="s">
        <v>152</v>
      </c>
      <c r="B44" s="48" t="s">
        <v>33</v>
      </c>
      <c r="C44" s="20" t="s">
        <v>153</v>
      </c>
      <c r="D44" s="11" t="s">
        <v>83</v>
      </c>
      <c r="E44" s="21">
        <v>46321</v>
      </c>
      <c r="F44" s="21">
        <v>46321</v>
      </c>
      <c r="G44" s="35" t="s">
        <v>89</v>
      </c>
      <c r="H44" s="36"/>
      <c r="I44" s="11" t="s">
        <v>22</v>
      </c>
      <c r="J44" s="37" t="str">
        <f>IF(G44="완료",IF(H44&lt;&gt;1,"진행률 확인",IF(COUNTBLANK(INDEX('완료 기준'!$G$9:$G$77,MATCH($A44,'완료 기준'!$A$9:$A$77,0)))&gt;0,"완료근거 필요","완료 확인")),"")</f>
        <v/>
      </c>
    </row>
    <row r="45" spans="1:10" ht="48" customHeight="1">
      <c r="A45" s="38" t="s">
        <v>154</v>
      </c>
      <c r="B45" s="49" t="s">
        <v>33</v>
      </c>
      <c r="C45" s="17" t="s">
        <v>155</v>
      </c>
      <c r="D45" s="22" t="s">
        <v>9</v>
      </c>
      <c r="E45" s="19">
        <v>46321</v>
      </c>
      <c r="F45" s="19">
        <v>46322</v>
      </c>
      <c r="G45" s="35" t="s">
        <v>18</v>
      </c>
      <c r="H45" s="36"/>
      <c r="I45" s="18" t="s">
        <v>22</v>
      </c>
      <c r="J45" s="40" t="str">
        <f>IF(G45="완료",IF(H45&lt;&gt;1,"진행률 확인",IF(COUNTBLANK(INDEX('완료 기준'!$G$9:$G$77,MATCH($A45,'완료 기준'!$A$9:$A$77,0)))&gt;0,"완료근거 필요","완료 확인")),"")</f>
        <v/>
      </c>
    </row>
    <row r="46" spans="1:10" ht="48" customHeight="1">
      <c r="A46" s="33" t="s">
        <v>156</v>
      </c>
      <c r="B46" s="48" t="s">
        <v>33</v>
      </c>
      <c r="C46" s="20" t="s">
        <v>157</v>
      </c>
      <c r="D46" s="11" t="s">
        <v>9</v>
      </c>
      <c r="E46" s="21">
        <v>46321</v>
      </c>
      <c r="F46" s="21">
        <v>46322</v>
      </c>
      <c r="G46" s="35" t="s">
        <v>18</v>
      </c>
      <c r="H46" s="36"/>
      <c r="I46" s="11" t="s">
        <v>22</v>
      </c>
      <c r="J46" s="37" t="str">
        <f>IF(G46="완료",IF(H46&lt;&gt;1,"진행률 확인",IF(COUNTBLANK(INDEX('완료 기준'!$G$9:$G$77,MATCH($A46,'완료 기준'!$A$9:$A$77,0)))&gt;0,"완료근거 필요","완료 확인")),"")</f>
        <v/>
      </c>
    </row>
    <row r="47" spans="1:10" ht="48" customHeight="1">
      <c r="A47" s="38" t="s">
        <v>158</v>
      </c>
      <c r="B47" s="49" t="s">
        <v>33</v>
      </c>
      <c r="C47" s="17" t="s">
        <v>159</v>
      </c>
      <c r="D47" s="22" t="s">
        <v>9</v>
      </c>
      <c r="E47" s="19">
        <v>46322</v>
      </c>
      <c r="F47" s="19">
        <v>46323</v>
      </c>
      <c r="G47" s="35" t="s">
        <v>18</v>
      </c>
      <c r="H47" s="36"/>
      <c r="I47" s="18" t="s">
        <v>23</v>
      </c>
      <c r="J47" s="40" t="str">
        <f>IF(G47="완료",IF(H47&lt;&gt;1,"진행률 확인",IF(COUNTBLANK(INDEX('완료 기준'!$G$9:$G$77,MATCH($A47,'완료 기준'!$A$9:$A$77,0)))&gt;0,"완료근거 필요","완료 확인")),"")</f>
        <v/>
      </c>
    </row>
    <row r="48" spans="1:10" ht="48" customHeight="1">
      <c r="A48" s="33" t="s">
        <v>160</v>
      </c>
      <c r="B48" s="48" t="s">
        <v>33</v>
      </c>
      <c r="C48" s="20" t="s">
        <v>161</v>
      </c>
      <c r="D48" s="11" t="s">
        <v>98</v>
      </c>
      <c r="E48" s="21">
        <v>46322</v>
      </c>
      <c r="F48" s="21">
        <v>46323</v>
      </c>
      <c r="G48" s="35" t="s">
        <v>18</v>
      </c>
      <c r="H48" s="36"/>
      <c r="I48" s="11" t="s">
        <v>22</v>
      </c>
      <c r="J48" s="37" t="str">
        <f>IF(G48="완료",IF(H48&lt;&gt;1,"진행률 확인",IF(COUNTBLANK(INDEX('완료 기준'!$G$9:$G$77,MATCH($A48,'완료 기준'!$A$9:$A$77,0)))&gt;0,"완료근거 필요","완료 확인")),"")</f>
        <v/>
      </c>
    </row>
    <row r="49" spans="1:10" ht="48" customHeight="1">
      <c r="A49" s="38" t="s">
        <v>162</v>
      </c>
      <c r="B49" s="49" t="s">
        <v>33</v>
      </c>
      <c r="C49" s="17" t="s">
        <v>163</v>
      </c>
      <c r="D49" s="22" t="s">
        <v>9</v>
      </c>
      <c r="E49" s="19">
        <v>46322</v>
      </c>
      <c r="F49" s="19">
        <v>46323</v>
      </c>
      <c r="G49" s="35" t="s">
        <v>18</v>
      </c>
      <c r="H49" s="36"/>
      <c r="I49" s="18" t="s">
        <v>22</v>
      </c>
      <c r="J49" s="40" t="str">
        <f>IF(G49="완료",IF(H49&lt;&gt;1,"진행률 확인",IF(COUNTBLANK(INDEX('완료 기준'!$G$9:$G$77,MATCH($A49,'완료 기준'!$A$9:$A$77,0)))&gt;0,"완료근거 필요","완료 확인")),"")</f>
        <v/>
      </c>
    </row>
    <row r="50" spans="1:10" ht="48" customHeight="1">
      <c r="A50" s="33" t="s">
        <v>164</v>
      </c>
      <c r="B50" s="48" t="s">
        <v>33</v>
      </c>
      <c r="C50" s="20" t="s">
        <v>165</v>
      </c>
      <c r="D50" s="11" t="s">
        <v>98</v>
      </c>
      <c r="E50" s="21">
        <v>46324</v>
      </c>
      <c r="F50" s="21">
        <v>46324</v>
      </c>
      <c r="G50" s="35" t="s">
        <v>18</v>
      </c>
      <c r="H50" s="36"/>
      <c r="I50" s="11" t="s">
        <v>23</v>
      </c>
      <c r="J50" s="37" t="str">
        <f>IF(G50="완료",IF(H50&lt;&gt;1,"진행률 확인",IF(COUNTBLANK(INDEX('완료 기준'!$G$9:$G$77,MATCH($A50,'완료 기준'!$A$9:$A$77,0)))&gt;0,"완료근거 필요","완료 확인")),"")</f>
        <v/>
      </c>
    </row>
    <row r="51" spans="1:10" ht="48" customHeight="1">
      <c r="A51" s="25" t="s">
        <v>166</v>
      </c>
      <c r="B51" s="26" t="s">
        <v>33</v>
      </c>
      <c r="C51" s="27" t="s">
        <v>167</v>
      </c>
      <c r="D51" s="28" t="s">
        <v>128</v>
      </c>
      <c r="E51" s="29">
        <v>46324</v>
      </c>
      <c r="F51" s="29">
        <v>46325</v>
      </c>
      <c r="G51" s="30" t="s">
        <v>18</v>
      </c>
      <c r="H51" s="31"/>
      <c r="I51" s="28" t="s">
        <v>22</v>
      </c>
      <c r="J51" s="32" t="str">
        <f>IF(G51="완료",IF(H51&lt;&gt;1,"진행률 확인",IF(COUNTBLANK(INDEX('완료 기준'!$G$9:$G$77,MATCH($A51,'완료 기준'!$A$9:$A$77,0)))&gt;0,"완료근거 필요","완료 확인")),"")</f>
        <v/>
      </c>
    </row>
    <row r="52" spans="1:10" ht="48" customHeight="1">
      <c r="A52" s="33" t="s">
        <v>168</v>
      </c>
      <c r="B52" s="34" t="s">
        <v>33</v>
      </c>
      <c r="C52" s="20" t="s">
        <v>169</v>
      </c>
      <c r="D52" s="11" t="s">
        <v>98</v>
      </c>
      <c r="E52" s="21">
        <v>46324</v>
      </c>
      <c r="F52" s="21">
        <v>46325</v>
      </c>
      <c r="G52" s="35" t="s">
        <v>18</v>
      </c>
      <c r="H52" s="36"/>
      <c r="I52" s="11" t="s">
        <v>22</v>
      </c>
      <c r="J52" s="37" t="str">
        <f>IF(G52="완료",IF(H52&lt;&gt;1,"진행률 확인",IF(COUNTBLANK(INDEX('완료 기준'!$G$9:$G$77,MATCH($A52,'완료 기준'!$A$9:$A$77,0)))&gt;0,"완료근거 필요","완료 확인")),"")</f>
        <v/>
      </c>
    </row>
    <row r="53" spans="1:10" ht="48" customHeight="1">
      <c r="A53" s="38" t="s">
        <v>170</v>
      </c>
      <c r="B53" s="39" t="s">
        <v>33</v>
      </c>
      <c r="C53" s="17" t="s">
        <v>171</v>
      </c>
      <c r="D53" s="22" t="s">
        <v>128</v>
      </c>
      <c r="E53" s="19">
        <v>46325</v>
      </c>
      <c r="F53" s="19">
        <v>46325</v>
      </c>
      <c r="G53" s="35" t="s">
        <v>18</v>
      </c>
      <c r="H53" s="36"/>
      <c r="I53" s="18" t="s">
        <v>23</v>
      </c>
      <c r="J53" s="40" t="str">
        <f>IF(G53="완료",IF(H53&lt;&gt;1,"진행률 확인",IF(COUNTBLANK(INDEX('완료 기준'!$G$9:$G$77,MATCH($A53,'완료 기준'!$A$9:$A$77,0)))&gt;0,"완료근거 필요","완료 확인")),"")</f>
        <v/>
      </c>
    </row>
    <row r="54" spans="1:10" ht="48" customHeight="1">
      <c r="A54" s="33" t="s">
        <v>48</v>
      </c>
      <c r="B54" s="34" t="s">
        <v>33</v>
      </c>
      <c r="C54" s="20" t="s">
        <v>172</v>
      </c>
      <c r="D54" s="11" t="s">
        <v>9</v>
      </c>
      <c r="E54" s="21">
        <v>46325</v>
      </c>
      <c r="F54" s="21">
        <v>46325</v>
      </c>
      <c r="G54" s="35" t="s">
        <v>18</v>
      </c>
      <c r="H54" s="36"/>
      <c r="I54" s="11" t="s">
        <v>24</v>
      </c>
      <c r="J54" s="37" t="str">
        <f>IF(G54="완료",IF(H54&lt;&gt;1,"진행률 확인",IF(COUNTBLANK(INDEX('완료 기준'!$G$9:$G$77,MATCH($A54,'완료 기준'!$A$9:$A$77,0)))&gt;0,"완료근거 필요","완료 확인")),"")</f>
        <v/>
      </c>
    </row>
    <row r="55" spans="1:10" ht="48" customHeight="1">
      <c r="A55" s="38" t="s">
        <v>173</v>
      </c>
      <c r="B55" s="39" t="s">
        <v>35</v>
      </c>
      <c r="C55" s="17" t="s">
        <v>174</v>
      </c>
      <c r="D55" s="22" t="s">
        <v>88</v>
      </c>
      <c r="E55" s="19">
        <v>46321</v>
      </c>
      <c r="F55" s="19">
        <v>46321</v>
      </c>
      <c r="G55" s="35" t="s">
        <v>18</v>
      </c>
      <c r="H55" s="36"/>
      <c r="I55" s="18" t="s">
        <v>22</v>
      </c>
      <c r="J55" s="40" t="str">
        <f>IF(G55="완료",IF(H55&lt;&gt;1,"진행률 확인",IF(COUNTBLANK(INDEX('완료 기준'!$G$9:$G$77,MATCH($A55,'완료 기준'!$A$9:$A$77,0)))&gt;0,"완료근거 필요","완료 확인")),"")</f>
        <v/>
      </c>
    </row>
    <row r="56" spans="1:10" ht="48" customHeight="1">
      <c r="A56" s="33" t="s">
        <v>175</v>
      </c>
      <c r="B56" s="34" t="s">
        <v>35</v>
      </c>
      <c r="C56" s="20" t="s">
        <v>176</v>
      </c>
      <c r="D56" s="11" t="s">
        <v>88</v>
      </c>
      <c r="E56" s="21">
        <v>46323</v>
      </c>
      <c r="F56" s="21">
        <v>46323</v>
      </c>
      <c r="G56" s="35" t="s">
        <v>18</v>
      </c>
      <c r="H56" s="36"/>
      <c r="I56" s="11" t="s">
        <v>22</v>
      </c>
      <c r="J56" s="37" t="str">
        <f>IF(G56="완료",IF(H56&lt;&gt;1,"진행률 확인",IF(COUNTBLANK(INDEX('완료 기준'!$G$9:$G$77,MATCH($A56,'완료 기준'!$A$9:$A$77,0)))&gt;0,"완료근거 필요","완료 확인")),"")</f>
        <v/>
      </c>
    </row>
    <row r="57" spans="1:10" ht="48" customHeight="1">
      <c r="A57" s="38" t="s">
        <v>177</v>
      </c>
      <c r="B57" s="39" t="s">
        <v>35</v>
      </c>
      <c r="C57" s="17" t="s">
        <v>178</v>
      </c>
      <c r="D57" s="22" t="s">
        <v>88</v>
      </c>
      <c r="E57" s="19">
        <v>46323</v>
      </c>
      <c r="F57" s="19">
        <v>46324</v>
      </c>
      <c r="G57" s="35" t="s">
        <v>18</v>
      </c>
      <c r="H57" s="36"/>
      <c r="I57" s="18" t="s">
        <v>22</v>
      </c>
      <c r="J57" s="40" t="str">
        <f>IF(G57="완료",IF(H57&lt;&gt;1,"진행률 확인",IF(COUNTBLANK(INDEX('완료 기준'!$G$9:$G$77,MATCH($A57,'완료 기준'!$A$9:$A$77,0)))&gt;0,"완료근거 필요","완료 확인")),"")</f>
        <v/>
      </c>
    </row>
    <row r="58" spans="1:10" ht="48" customHeight="1">
      <c r="A58" s="41" t="s">
        <v>179</v>
      </c>
      <c r="B58" s="42" t="s">
        <v>35</v>
      </c>
      <c r="C58" s="43" t="s">
        <v>180</v>
      </c>
      <c r="D58" s="44" t="s">
        <v>88</v>
      </c>
      <c r="E58" s="45">
        <v>46324</v>
      </c>
      <c r="F58" s="45">
        <v>46325</v>
      </c>
      <c r="G58" s="30" t="s">
        <v>18</v>
      </c>
      <c r="H58" s="31"/>
      <c r="I58" s="44" t="s">
        <v>22</v>
      </c>
      <c r="J58" s="46" t="str">
        <f>IF(G58="완료",IF(H58&lt;&gt;1,"진행률 확인",IF(COUNTBLANK(INDEX('완료 기준'!$G$9:$G$77,MATCH($A58,'완료 기준'!$A$9:$A$77,0)))&gt;0,"완료근거 필요","완료 확인")),"")</f>
        <v/>
      </c>
    </row>
    <row r="59" spans="1:10" ht="48" customHeight="1">
      <c r="A59" s="38" t="s">
        <v>181</v>
      </c>
      <c r="B59" s="39" t="s">
        <v>35</v>
      </c>
      <c r="C59" s="17" t="s">
        <v>182</v>
      </c>
      <c r="D59" s="22" t="s">
        <v>128</v>
      </c>
      <c r="E59" s="19">
        <v>46324</v>
      </c>
      <c r="F59" s="19">
        <v>46325</v>
      </c>
      <c r="G59" s="35" t="s">
        <v>18</v>
      </c>
      <c r="H59" s="36"/>
      <c r="I59" s="18" t="s">
        <v>22</v>
      </c>
      <c r="J59" s="40" t="str">
        <f>IF(G59="완료",IF(H59&lt;&gt;1,"진행률 확인",IF(COUNTBLANK(INDEX('완료 기준'!$G$9:$G$77,MATCH($A59,'완료 기준'!$A$9:$A$77,0)))&gt;0,"완료근거 필요","완료 확인")),"")</f>
        <v/>
      </c>
    </row>
    <row r="60" spans="1:10" ht="48" customHeight="1">
      <c r="A60" s="33" t="s">
        <v>183</v>
      </c>
      <c r="B60" s="34" t="s">
        <v>35</v>
      </c>
      <c r="C60" s="20" t="s">
        <v>184</v>
      </c>
      <c r="D60" s="11" t="s">
        <v>128</v>
      </c>
      <c r="E60" s="21">
        <v>46325</v>
      </c>
      <c r="F60" s="21">
        <v>46325</v>
      </c>
      <c r="G60" s="35" t="s">
        <v>18</v>
      </c>
      <c r="H60" s="36"/>
      <c r="I60" s="11" t="s">
        <v>22</v>
      </c>
      <c r="J60" s="37" t="str">
        <f>IF(G60="완료",IF(H60&lt;&gt;1,"진행률 확인",IF(COUNTBLANK(INDEX('완료 기준'!$G$9:$G$77,MATCH($A60,'완료 기준'!$A$9:$A$77,0)))&gt;0,"완료근거 필요","완료 확인")),"")</f>
        <v/>
      </c>
    </row>
    <row r="61" spans="1:10" ht="48" customHeight="1">
      <c r="A61" s="38" t="s">
        <v>185</v>
      </c>
      <c r="B61" s="39" t="s">
        <v>35</v>
      </c>
      <c r="C61" s="17" t="s">
        <v>186</v>
      </c>
      <c r="D61" s="22" t="s">
        <v>88</v>
      </c>
      <c r="E61" s="19">
        <v>46325</v>
      </c>
      <c r="F61" s="19">
        <v>46326</v>
      </c>
      <c r="G61" s="35" t="s">
        <v>18</v>
      </c>
      <c r="H61" s="36"/>
      <c r="I61" s="18" t="s">
        <v>22</v>
      </c>
      <c r="J61" s="40" t="str">
        <f>IF(G61="완료",IF(H61&lt;&gt;1,"진행률 확인",IF(COUNTBLANK(INDEX('완료 기준'!$G$9:$G$77,MATCH($A61,'완료 기준'!$A$9:$A$77,0)))&gt;0,"완료근거 필요","완료 확인")),"")</f>
        <v/>
      </c>
    </row>
    <row r="62" spans="1:10" ht="48" customHeight="1">
      <c r="A62" s="33" t="s">
        <v>49</v>
      </c>
      <c r="B62" s="34" t="s">
        <v>35</v>
      </c>
      <c r="C62" s="20" t="s">
        <v>187</v>
      </c>
      <c r="D62" s="11" t="s">
        <v>9</v>
      </c>
      <c r="E62" s="21">
        <v>46326</v>
      </c>
      <c r="F62" s="21">
        <v>46326</v>
      </c>
      <c r="G62" s="35" t="s">
        <v>18</v>
      </c>
      <c r="H62" s="36"/>
      <c r="I62" s="11" t="s">
        <v>24</v>
      </c>
      <c r="J62" s="37" t="str">
        <f>IF(G62="완료",IF(H62&lt;&gt;1,"진행률 확인",IF(COUNTBLANK(INDEX('완료 기준'!$G$9:$G$77,MATCH($A62,'완료 기준'!$A$9:$A$77,0)))&gt;0,"완료근거 필요","완료 확인")),"")</f>
        <v/>
      </c>
    </row>
    <row r="63" spans="1:10" ht="48" customHeight="1">
      <c r="A63" s="38" t="s">
        <v>188</v>
      </c>
      <c r="B63" s="39" t="s">
        <v>37</v>
      </c>
      <c r="C63" s="17" t="s">
        <v>189</v>
      </c>
      <c r="D63" s="22" t="s">
        <v>128</v>
      </c>
      <c r="E63" s="19">
        <v>46326</v>
      </c>
      <c r="F63" s="19">
        <v>46326</v>
      </c>
      <c r="G63" s="35" t="s">
        <v>18</v>
      </c>
      <c r="H63" s="36"/>
      <c r="I63" s="18" t="s">
        <v>22</v>
      </c>
      <c r="J63" s="40" t="str">
        <f>IF(G63="완료",IF(H63&lt;&gt;1,"진행률 확인",IF(COUNTBLANK(INDEX('완료 기준'!$G$9:$G$77,MATCH($A63,'완료 기준'!$A$9:$A$77,0)))&gt;0,"완료근거 필요","완료 확인")),"")</f>
        <v/>
      </c>
    </row>
    <row r="64" spans="1:10" ht="48" customHeight="1">
      <c r="A64" s="33" t="s">
        <v>190</v>
      </c>
      <c r="B64" s="34" t="s">
        <v>37</v>
      </c>
      <c r="C64" s="20" t="s">
        <v>191</v>
      </c>
      <c r="D64" s="11" t="s">
        <v>88</v>
      </c>
      <c r="E64" s="21">
        <v>46326</v>
      </c>
      <c r="F64" s="21">
        <v>46327</v>
      </c>
      <c r="G64" s="35" t="s">
        <v>18</v>
      </c>
      <c r="H64" s="36"/>
      <c r="I64" s="11" t="s">
        <v>22</v>
      </c>
      <c r="J64" s="37" t="str">
        <f>IF(G64="완료",IF(H64&lt;&gt;1,"진행률 확인",IF(COUNTBLANK(INDEX('완료 기준'!$G$9:$G$77,MATCH($A64,'완료 기준'!$A$9:$A$77,0)))&gt;0,"완료근거 필요","완료 확인")),"")</f>
        <v/>
      </c>
    </row>
    <row r="65" spans="1:10" ht="48" customHeight="1">
      <c r="A65" s="33" t="s">
        <v>192</v>
      </c>
      <c r="B65" s="34" t="s">
        <v>37</v>
      </c>
      <c r="C65" s="20" t="s">
        <v>193</v>
      </c>
      <c r="D65" s="11" t="s">
        <v>83</v>
      </c>
      <c r="E65" s="21">
        <v>46326</v>
      </c>
      <c r="F65" s="21">
        <v>46327</v>
      </c>
      <c r="G65" s="35" t="s">
        <v>80</v>
      </c>
      <c r="H65" s="36"/>
      <c r="I65" s="11" t="s">
        <v>22</v>
      </c>
      <c r="J65" s="37" t="str">
        <f>IF(G65="완료",IF(H65&lt;&gt;1,"진행률 확인",IF(COUNTBLANK(INDEX('완료 기준'!$G$9:$G$77,MATCH($A65,'완료 기준'!$A$9:$A$77,0)))&gt;0,"완료근거 필요","완료 확인")),"")</f>
        <v>진행률 확인</v>
      </c>
    </row>
    <row r="66" spans="1:10" ht="48" customHeight="1">
      <c r="A66" s="33" t="s">
        <v>194</v>
      </c>
      <c r="B66" s="34" t="s">
        <v>37</v>
      </c>
      <c r="C66" s="20" t="s">
        <v>195</v>
      </c>
      <c r="D66" s="11" t="s">
        <v>98</v>
      </c>
      <c r="E66" s="21">
        <v>46326</v>
      </c>
      <c r="F66" s="21">
        <v>46327</v>
      </c>
      <c r="G66" s="35" t="s">
        <v>18</v>
      </c>
      <c r="H66" s="36"/>
      <c r="I66" s="11" t="s">
        <v>22</v>
      </c>
      <c r="J66" s="37" t="str">
        <f>IF(G66="완료",IF(H66&lt;&gt;1,"진행률 확인",IF(COUNTBLANK(INDEX('완료 기준'!$G$9:$G$77,MATCH($A66,'완료 기준'!$A$9:$A$77,0)))&gt;0,"완료근거 필요","완료 확인")),"")</f>
        <v/>
      </c>
    </row>
    <row r="67" spans="1:10" ht="48" customHeight="1">
      <c r="A67" s="33" t="s">
        <v>196</v>
      </c>
      <c r="B67" s="34" t="s">
        <v>37</v>
      </c>
      <c r="C67" s="20" t="s">
        <v>197</v>
      </c>
      <c r="D67" s="11" t="s">
        <v>98</v>
      </c>
      <c r="E67" s="21">
        <v>46327</v>
      </c>
      <c r="F67" s="21">
        <v>46327</v>
      </c>
      <c r="G67" s="35" t="s">
        <v>18</v>
      </c>
      <c r="H67" s="36"/>
      <c r="I67" s="11" t="s">
        <v>22</v>
      </c>
      <c r="J67" s="37" t="str">
        <f>IF(G67="완료",IF(H67&lt;&gt;1,"진행률 확인",IF(COUNTBLANK(INDEX('완료 기준'!$G$9:$G$77,MATCH($A67,'완료 기준'!$A$9:$A$77,0)))&gt;0,"완료근거 필요","완료 확인")),"")</f>
        <v/>
      </c>
    </row>
    <row r="68" spans="1:10" ht="48" customHeight="1">
      <c r="A68" s="33" t="s">
        <v>198</v>
      </c>
      <c r="B68" s="34" t="s">
        <v>37</v>
      </c>
      <c r="C68" s="20" t="s">
        <v>199</v>
      </c>
      <c r="D68" s="11" t="s">
        <v>128</v>
      </c>
      <c r="E68" s="21">
        <v>46328</v>
      </c>
      <c r="F68" s="21">
        <v>46328</v>
      </c>
      <c r="G68" s="35" t="s">
        <v>18</v>
      </c>
      <c r="H68" s="36"/>
      <c r="I68" s="11" t="s">
        <v>22</v>
      </c>
      <c r="J68" s="37" t="str">
        <f>IF(G68="완료",IF(H68&lt;&gt;1,"진행률 확인",IF(COUNTBLANK(INDEX('완료 기준'!$G$9:$G$77,MATCH($A68,'완료 기준'!$A$9:$A$77,0)))&gt;0,"완료근거 필요","완료 확인")),"")</f>
        <v/>
      </c>
    </row>
    <row r="69" spans="1:10" ht="48" customHeight="1">
      <c r="A69" s="33" t="s">
        <v>200</v>
      </c>
      <c r="B69" s="34" t="s">
        <v>37</v>
      </c>
      <c r="C69" s="20" t="s">
        <v>201</v>
      </c>
      <c r="D69" s="11" t="s">
        <v>9</v>
      </c>
      <c r="E69" s="21">
        <v>46328</v>
      </c>
      <c r="F69" s="21">
        <v>46328</v>
      </c>
      <c r="G69" s="35" t="s">
        <v>18</v>
      </c>
      <c r="H69" s="36"/>
      <c r="I69" s="11" t="s">
        <v>22</v>
      </c>
      <c r="J69" s="37" t="str">
        <f>IF(G69="완료",IF(H69&lt;&gt;1,"진행률 확인",IF(COUNTBLANK(INDEX('완료 기준'!$G$9:$G$77,MATCH($A69,'완료 기준'!$A$9:$A$77,0)))&gt;0,"완료근거 필요","완료 확인")),"")</f>
        <v/>
      </c>
    </row>
    <row r="70" spans="1:10" ht="48" customHeight="1">
      <c r="A70" s="33" t="s">
        <v>50</v>
      </c>
      <c r="B70" s="34" t="s">
        <v>37</v>
      </c>
      <c r="C70" s="20" t="s">
        <v>202</v>
      </c>
      <c r="D70" s="11" t="s">
        <v>9</v>
      </c>
      <c r="E70" s="21">
        <v>46328</v>
      </c>
      <c r="F70" s="21">
        <v>46328</v>
      </c>
      <c r="G70" s="35" t="s">
        <v>18</v>
      </c>
      <c r="H70" s="36"/>
      <c r="I70" s="11" t="s">
        <v>24</v>
      </c>
      <c r="J70" s="37" t="str">
        <f>IF(G70="완료",IF(H70&lt;&gt;1,"진행률 확인",IF(COUNTBLANK(INDEX('완료 기준'!$G$9:$G$77,MATCH($A70,'완료 기준'!$A$9:$A$77,0)))&gt;0,"완료근거 필요","완료 확인")),"")</f>
        <v/>
      </c>
    </row>
    <row r="71" spans="1:10" ht="48" customHeight="1">
      <c r="A71" s="33" t="s">
        <v>203</v>
      </c>
      <c r="B71" s="34" t="s">
        <v>39</v>
      </c>
      <c r="C71" s="20" t="s">
        <v>204</v>
      </c>
      <c r="D71" s="11" t="s">
        <v>88</v>
      </c>
      <c r="E71" s="21">
        <v>46329</v>
      </c>
      <c r="F71" s="21">
        <v>46329</v>
      </c>
      <c r="G71" s="35" t="s">
        <v>18</v>
      </c>
      <c r="H71" s="36"/>
      <c r="I71" s="11" t="s">
        <v>22</v>
      </c>
      <c r="J71" s="37" t="str">
        <f>IF(G71="완료",IF(H71&lt;&gt;1,"진행률 확인",IF(COUNTBLANK(INDEX('완료 기준'!$G$9:$G$77,MATCH($A71,'완료 기준'!$A$9:$A$77,0)))&gt;0,"완료근거 필요","완료 확인")),"")</f>
        <v/>
      </c>
    </row>
    <row r="72" spans="1:10" ht="48" customHeight="1">
      <c r="A72" s="33" t="s">
        <v>205</v>
      </c>
      <c r="B72" s="34" t="s">
        <v>39</v>
      </c>
      <c r="C72" s="20" t="s">
        <v>206</v>
      </c>
      <c r="D72" s="11" t="s">
        <v>83</v>
      </c>
      <c r="E72" s="21">
        <v>46329</v>
      </c>
      <c r="F72" s="21">
        <v>46329</v>
      </c>
      <c r="G72" s="35" t="s">
        <v>18</v>
      </c>
      <c r="H72" s="36"/>
      <c r="I72" s="11" t="s">
        <v>22</v>
      </c>
      <c r="J72" s="37" t="str">
        <f>IF(G72="완료",IF(H72&lt;&gt;1,"진행률 확인",IF(COUNTBLANK(INDEX('완료 기준'!$G$9:$G$77,MATCH($A72,'완료 기준'!$A$9:$A$77,0)))&gt;0,"완료근거 필요","완료 확인")),"")</f>
        <v/>
      </c>
    </row>
    <row r="73" spans="1:10" ht="48" customHeight="1">
      <c r="A73" s="33" t="s">
        <v>207</v>
      </c>
      <c r="B73" s="34" t="s">
        <v>39</v>
      </c>
      <c r="C73" s="20" t="s">
        <v>208</v>
      </c>
      <c r="D73" s="11" t="s">
        <v>128</v>
      </c>
      <c r="E73" s="21">
        <v>46330</v>
      </c>
      <c r="F73" s="21">
        <v>46330</v>
      </c>
      <c r="G73" s="35" t="s">
        <v>18</v>
      </c>
      <c r="H73" s="36"/>
      <c r="I73" s="11" t="s">
        <v>22</v>
      </c>
      <c r="J73" s="37" t="str">
        <f>IF(G73="완료",IF(H73&lt;&gt;1,"진행률 확인",IF(COUNTBLANK(INDEX('완료 기준'!$G$9:$G$77,MATCH($A73,'완료 기준'!$A$9:$A$77,0)))&gt;0,"완료근거 필요","완료 확인")),"")</f>
        <v/>
      </c>
    </row>
    <row r="74" spans="1:10" ht="48" customHeight="1">
      <c r="A74" s="33" t="s">
        <v>209</v>
      </c>
      <c r="B74" s="34" t="s">
        <v>39</v>
      </c>
      <c r="C74" s="20" t="s">
        <v>210</v>
      </c>
      <c r="D74" s="11" t="s">
        <v>9</v>
      </c>
      <c r="E74" s="21">
        <v>46330</v>
      </c>
      <c r="F74" s="21">
        <v>46330</v>
      </c>
      <c r="G74" s="35" t="s">
        <v>18</v>
      </c>
      <c r="H74" s="36"/>
      <c r="I74" s="11" t="s">
        <v>22</v>
      </c>
      <c r="J74" s="37" t="str">
        <f>IF(G74="완료",IF(H74&lt;&gt;1,"진행률 확인",IF(COUNTBLANK(INDEX('완료 기준'!$G$9:$G$77,MATCH($A74,'완료 기준'!$A$9:$A$77,0)))&gt;0,"완료근거 필요","완료 확인")),"")</f>
        <v/>
      </c>
    </row>
    <row r="75" spans="1:10" ht="48" customHeight="1">
      <c r="A75" s="33" t="s">
        <v>211</v>
      </c>
      <c r="B75" s="34" t="s">
        <v>39</v>
      </c>
      <c r="C75" s="20" t="s">
        <v>212</v>
      </c>
      <c r="D75" s="11" t="s">
        <v>83</v>
      </c>
      <c r="E75" s="21">
        <v>46330</v>
      </c>
      <c r="F75" s="21">
        <v>46330</v>
      </c>
      <c r="G75" s="35" t="s">
        <v>18</v>
      </c>
      <c r="H75" s="36"/>
      <c r="I75" s="11" t="s">
        <v>22</v>
      </c>
      <c r="J75" s="37" t="str">
        <f>IF(G75="완료",IF(H75&lt;&gt;1,"진행률 확인",IF(COUNTBLANK(INDEX('완료 기준'!$G$9:$G$77,MATCH($A75,'완료 기준'!$A$9:$A$77,0)))&gt;0,"완료근거 필요","완료 확인")),"")</f>
        <v/>
      </c>
    </row>
    <row r="76" spans="1:10" ht="48" customHeight="1">
      <c r="A76" s="33" t="s">
        <v>51</v>
      </c>
      <c r="B76" s="34" t="s">
        <v>39</v>
      </c>
      <c r="C76" s="20" t="s">
        <v>213</v>
      </c>
      <c r="D76" s="11" t="s">
        <v>9</v>
      </c>
      <c r="E76" s="21">
        <v>46331</v>
      </c>
      <c r="F76" s="21">
        <v>46331</v>
      </c>
      <c r="G76" s="35" t="s">
        <v>18</v>
      </c>
      <c r="H76" s="36"/>
      <c r="I76" s="11" t="s">
        <v>24</v>
      </c>
      <c r="J76" s="37" t="str">
        <f>IF(G76="완료",IF(H76&lt;&gt;1,"진행률 확인",IF(COUNTBLANK(INDEX('완료 기준'!$G$9:$G$77,MATCH($A76,'완료 기준'!$A$9:$A$77,0)))&gt;0,"완료근거 필요","완료 확인")),"")</f>
        <v/>
      </c>
    </row>
    <row r="77" spans="1:10" ht="48" customHeight="1">
      <c r="A77" s="33" t="s">
        <v>52</v>
      </c>
      <c r="B77" s="34" t="s">
        <v>39</v>
      </c>
      <c r="C77" s="20" t="s">
        <v>214</v>
      </c>
      <c r="D77" s="11" t="s">
        <v>83</v>
      </c>
      <c r="E77" s="21">
        <v>46331</v>
      </c>
      <c r="F77" s="21">
        <v>46331</v>
      </c>
      <c r="G77" s="35" t="s">
        <v>18</v>
      </c>
      <c r="H77" s="36"/>
      <c r="I77" s="11" t="s">
        <v>24</v>
      </c>
      <c r="J77" s="37" t="str">
        <f>IF(G77="완료",IF(H77&lt;&gt;1,"진행률 확인",IF(COUNTBLANK(INDEX('완료 기준'!$G$9:$G$77,MATCH($A77,'완료 기준'!$A$9:$A$77,0)))&gt;0,"완료근거 필요","완료 확인")),"")</f>
        <v/>
      </c>
    </row>
  </sheetData>
  <phoneticPr fontId="20" type="noConversion"/>
  <conditionalFormatting sqref="G9:G64">
    <cfRule type="expression" dxfId="16" priority="2">
      <formula>$G9="완료"</formula>
    </cfRule>
    <cfRule type="expression" dxfId="15" priority="3">
      <formula>$G9="진행중"</formula>
    </cfRule>
    <cfRule type="expression" dxfId="14" priority="4">
      <formula>$G9="검토중"</formula>
    </cfRule>
    <cfRule type="expression" dxfId="13" priority="5">
      <formula>$G9="예정"</formula>
    </cfRule>
    <cfRule type="expression" dxfId="12" priority="6">
      <formula>$G9="미확인"</formula>
    </cfRule>
    <cfRule type="expression" dxfId="11" priority="7">
      <formula>$G9="보류"</formula>
    </cfRule>
    <cfRule type="expression" dxfId="10" priority="8">
      <formula>$G9="제외"</formula>
    </cfRule>
  </conditionalFormatting>
  <conditionalFormatting sqref="J9:J64">
    <cfRule type="expression" dxfId="9" priority="9">
      <formula>AND($J9&lt;&gt;"",$J9&lt;&gt;"완료 확인")</formula>
    </cfRule>
  </conditionalFormatting>
  <conditionalFormatting sqref="G65:G77">
    <cfRule type="containsText" dxfId="8" priority="10" operator="containsText" text="완료">
      <formula>NOT(ISERROR(SEARCH("완료",G65)))</formula>
    </cfRule>
    <cfRule type="containsText" dxfId="7" priority="11" operator="containsText" text="미확인">
      <formula>NOT(ISERROR(SEARCH("미확인",G65)))</formula>
    </cfRule>
    <cfRule type="containsText" dxfId="6" priority="12" operator="containsText" text="예정">
      <formula>NOT(ISERROR(SEARCH("예정",G65)))</formula>
    </cfRule>
  </conditionalFormatting>
  <dataValidations count="3">
    <dataValidation type="list" sqref="D9:D77">
      <formula1>"김동혁,김동민,서종원,오준탁,최수인"</formula1>
      <formula2>0</formula2>
    </dataValidation>
    <dataValidation type="list" sqref="G9:G77">
      <formula1>"미확인,예정,진행중,검토중,완료,보류,제외,조건대기"</formula1>
      <formula2>0</formula2>
    </dataValidation>
    <dataValidation type="decimal" sqref="H9:H77">
      <formula1>0</formula1>
      <formula2>1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3B5C3"/>
  </sheetPr>
  <dimension ref="A1:S77"/>
  <sheetViews>
    <sheetView showGridLines="0" zoomScale="55" zoomScaleNormal="55" workbookViewId="0">
      <pane xSplit="3" ySplit="8" topLeftCell="D9" activePane="bottomRight" state="frozen"/>
      <selection pane="topRight" activeCell="D1" sqref="D1"/>
      <selection pane="bottomLeft" activeCell="A93" sqref="A93"/>
      <selection pane="bottomRight" activeCell="B100" sqref="B100"/>
    </sheetView>
  </sheetViews>
  <sheetFormatPr defaultColWidth="8.6640625" defaultRowHeight="14.4"/>
  <cols>
    <col min="1" max="1" width="7.6640625" customWidth="1"/>
    <col min="2" max="2" width="42" customWidth="1"/>
    <col min="3" max="3" width="9.6640625" customWidth="1"/>
    <col min="4" max="19" width="3.88671875" customWidth="1"/>
  </cols>
  <sheetData>
    <row r="1" spans="1:19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33.75" customHeight="1">
      <c r="A2" s="5" t="s">
        <v>583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7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" customHeight="1">
      <c r="A4" s="24" t="s">
        <v>215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5" customHeight="1">
      <c r="A5" s="24" t="s">
        <v>216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15" customHeight="1">
      <c r="A6" s="24" t="s">
        <v>217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6" customHeight="1">
      <c r="A7" s="4"/>
      <c r="B7" s="4"/>
      <c r="C7" s="4"/>
      <c r="D7" s="50" t="s">
        <v>218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 t="s">
        <v>219</v>
      </c>
      <c r="P7" s="50"/>
      <c r="Q7" s="50"/>
      <c r="R7" s="50"/>
      <c r="S7" s="50"/>
    </row>
    <row r="8" spans="1:19" ht="30.75" customHeight="1">
      <c r="A8" s="14" t="s">
        <v>42</v>
      </c>
      <c r="B8" s="15" t="s">
        <v>73</v>
      </c>
      <c r="C8" s="15" t="s">
        <v>43</v>
      </c>
      <c r="D8" s="51">
        <v>46316</v>
      </c>
      <c r="E8" s="51">
        <v>46317</v>
      </c>
      <c r="F8" s="51">
        <v>46318</v>
      </c>
      <c r="G8" s="52">
        <v>46319</v>
      </c>
      <c r="H8" s="52">
        <v>46320</v>
      </c>
      <c r="I8" s="51">
        <v>46321</v>
      </c>
      <c r="J8" s="51">
        <v>46322</v>
      </c>
      <c r="K8" s="51">
        <v>46323</v>
      </c>
      <c r="L8" s="51">
        <v>46324</v>
      </c>
      <c r="M8" s="51">
        <v>46325</v>
      </c>
      <c r="N8" s="52">
        <v>46326</v>
      </c>
      <c r="O8" s="52">
        <v>46327</v>
      </c>
      <c r="P8" s="51">
        <v>46328</v>
      </c>
      <c r="Q8" s="51">
        <v>46329</v>
      </c>
      <c r="R8" s="51">
        <v>46330</v>
      </c>
      <c r="S8" s="53">
        <v>46331</v>
      </c>
    </row>
    <row r="9" spans="1:19" ht="48" customHeight="1">
      <c r="A9" s="38" t="str">
        <f>'작업 관리'!A9</f>
        <v>1.1</v>
      </c>
      <c r="B9" s="17" t="str">
        <f>'작업 관리'!C9</f>
        <v>기획안 v1.0 확정본 정리</v>
      </c>
      <c r="C9" s="4" t="str">
        <f>'작업 관리'!D9</f>
        <v>김동혁</v>
      </c>
      <c r="D9" s="54">
        <f>IF(AND(D$8&gt;='작업 관리'!$E9,D$8&lt;='작업 관리'!$F9),IF('작업 관리'!$I9="마일스톤",3,IF('작업 관리'!$G9="완료",2,1)),"")</f>
        <v>2</v>
      </c>
      <c r="E9" s="54" t="str">
        <f>IF(AND(E$8&gt;='작업 관리'!$E9,E$8&lt;='작업 관리'!$F9),IF('작업 관리'!$I9="마일스톤",3,IF('작업 관리'!$G9="완료",2,1)),"")</f>
        <v/>
      </c>
      <c r="F9" s="54" t="str">
        <f>IF(AND(F$8&gt;='작업 관리'!$E9,F$8&lt;='작업 관리'!$F9),IF('작업 관리'!$I9="마일스톤",3,IF('작업 관리'!$G9="완료",2,1)),"")</f>
        <v/>
      </c>
      <c r="G9" s="55" t="str">
        <f>IF(AND(G$8&gt;='작업 관리'!$E9,G$8&lt;='작업 관리'!$F9),IF('작업 관리'!$I9="마일스톤",3,IF('작업 관리'!$G9="완료",2,1)),"")</f>
        <v/>
      </c>
      <c r="H9" s="55" t="str">
        <f>IF(AND(H$8&gt;='작업 관리'!$E9,H$8&lt;='작업 관리'!$F9),IF('작업 관리'!$I9="마일스톤",3,IF('작업 관리'!$G9="완료",2,1)),"")</f>
        <v/>
      </c>
      <c r="I9" s="54" t="str">
        <f>IF(AND(I$8&gt;='작업 관리'!$E9,I$8&lt;='작업 관리'!$F9),IF('작업 관리'!$I9="마일스톤",3,IF('작업 관리'!$G9="완료",2,1)),"")</f>
        <v/>
      </c>
      <c r="J9" s="54" t="str">
        <f>IF(AND(J$8&gt;='작업 관리'!$E9,J$8&lt;='작업 관리'!$F9),IF('작업 관리'!$I9="마일스톤",3,IF('작업 관리'!$G9="완료",2,1)),"")</f>
        <v/>
      </c>
      <c r="K9" s="54" t="str">
        <f>IF(AND(K$8&gt;='작업 관리'!$E9,K$8&lt;='작업 관리'!$F9),IF('작업 관리'!$I9="마일스톤",3,IF('작업 관리'!$G9="완료",2,1)),"")</f>
        <v/>
      </c>
      <c r="L9" s="54" t="str">
        <f>IF(AND(L$8&gt;='작업 관리'!$E9,L$8&lt;='작업 관리'!$F9),IF('작업 관리'!$I9="마일스톤",3,IF('작업 관리'!$G9="완료",2,1)),"")</f>
        <v/>
      </c>
      <c r="M9" s="54" t="str">
        <f>IF(AND(M$8&gt;='작업 관리'!$E9,M$8&lt;='작업 관리'!$F9),IF('작업 관리'!$I9="마일스톤",3,IF('작업 관리'!$G9="완료",2,1)),"")</f>
        <v/>
      </c>
      <c r="N9" s="55" t="str">
        <f>IF(AND(N$8&gt;='작업 관리'!$E9,N$8&lt;='작업 관리'!$F9),IF('작업 관리'!$I9="마일스톤",3,IF('작업 관리'!$G9="완료",2,1)),"")</f>
        <v/>
      </c>
      <c r="O9" s="55" t="str">
        <f>IF(AND(O$8&gt;='작업 관리'!$E9,O$8&lt;='작업 관리'!$F9),IF('작업 관리'!$I9="마일스톤",3,IF('작업 관리'!$G9="완료",2,1)),"")</f>
        <v/>
      </c>
      <c r="P9" s="54" t="str">
        <f>IF(AND(P$8&gt;='작업 관리'!$E9,P$8&lt;='작업 관리'!$F9),IF('작업 관리'!$I9="마일스톤",3,IF('작업 관리'!$G9="완료",2,1)),"")</f>
        <v/>
      </c>
      <c r="Q9" s="54" t="str">
        <f>IF(AND(Q$8&gt;='작업 관리'!$E9,Q$8&lt;='작업 관리'!$F9),IF('작업 관리'!$I9="마일스톤",3,IF('작업 관리'!$G9="완료",2,1)),"")</f>
        <v/>
      </c>
      <c r="R9" s="54" t="str">
        <f>IF(AND(R$8&gt;='작업 관리'!$E9,R$8&lt;='작업 관리'!$F9),IF('작업 관리'!$I9="마일스톤",3,IF('작업 관리'!$G9="완료",2,1)),"")</f>
        <v/>
      </c>
      <c r="S9" s="54" t="str">
        <f>IF(AND(S$8&gt;='작업 관리'!$E9,S$8&lt;='작업 관리'!$F9),IF('작업 관리'!$I9="마일스톤",3,IF('작업 관리'!$G9="완료",2,1)),"")</f>
        <v/>
      </c>
    </row>
    <row r="10" spans="1:19" ht="48" customHeight="1">
      <c r="A10" s="33" t="str">
        <f>'작업 관리'!A10</f>
        <v>1.2</v>
      </c>
      <c r="B10" s="20" t="str">
        <f>'작업 관리'!C10</f>
        <v>기획 발표자료 v0.2 초안 보존</v>
      </c>
      <c r="C10" s="23" t="str">
        <f>'작업 관리'!D10</f>
        <v>오준탁</v>
      </c>
      <c r="D10" s="56">
        <f>IF(AND(D$8&gt;='작업 관리'!$E10,D$8&lt;='작업 관리'!$F10),IF('작업 관리'!$I10="마일스톤",3,IF('작업 관리'!$G10="완료",2,1)),"")</f>
        <v>2</v>
      </c>
      <c r="E10" s="56" t="str">
        <f>IF(AND(E$8&gt;='작업 관리'!$E10,E$8&lt;='작업 관리'!$F10),IF('작업 관리'!$I10="마일스톤",3,IF('작업 관리'!$G10="완료",2,1)),"")</f>
        <v/>
      </c>
      <c r="F10" s="56" t="str">
        <f>IF(AND(F$8&gt;='작업 관리'!$E10,F$8&lt;='작업 관리'!$F10),IF('작업 관리'!$I10="마일스톤",3,IF('작업 관리'!$G10="완료",2,1)),"")</f>
        <v/>
      </c>
      <c r="G10" s="55" t="str">
        <f>IF(AND(G$8&gt;='작업 관리'!$E10,G$8&lt;='작업 관리'!$F10),IF('작업 관리'!$I10="마일스톤",3,IF('작업 관리'!$G10="완료",2,1)),"")</f>
        <v/>
      </c>
      <c r="H10" s="55" t="str">
        <f>IF(AND(H$8&gt;='작업 관리'!$E10,H$8&lt;='작업 관리'!$F10),IF('작업 관리'!$I10="마일스톤",3,IF('작업 관리'!$G10="완료",2,1)),"")</f>
        <v/>
      </c>
      <c r="I10" s="56" t="str">
        <f>IF(AND(I$8&gt;='작업 관리'!$E10,I$8&lt;='작업 관리'!$F10),IF('작업 관리'!$I10="마일스톤",3,IF('작업 관리'!$G10="완료",2,1)),"")</f>
        <v/>
      </c>
      <c r="J10" s="56" t="str">
        <f>IF(AND(J$8&gt;='작업 관리'!$E10,J$8&lt;='작업 관리'!$F10),IF('작업 관리'!$I10="마일스톤",3,IF('작업 관리'!$G10="완료",2,1)),"")</f>
        <v/>
      </c>
      <c r="K10" s="56" t="str">
        <f>IF(AND(K$8&gt;='작업 관리'!$E10,K$8&lt;='작업 관리'!$F10),IF('작업 관리'!$I10="마일스톤",3,IF('작업 관리'!$G10="완료",2,1)),"")</f>
        <v/>
      </c>
      <c r="L10" s="56" t="str">
        <f>IF(AND(L$8&gt;='작업 관리'!$E10,L$8&lt;='작업 관리'!$F10),IF('작업 관리'!$I10="마일스톤",3,IF('작업 관리'!$G10="완료",2,1)),"")</f>
        <v/>
      </c>
      <c r="M10" s="56" t="str">
        <f>IF(AND(M$8&gt;='작업 관리'!$E10,M$8&lt;='작업 관리'!$F10),IF('작업 관리'!$I10="마일스톤",3,IF('작업 관리'!$G10="완료",2,1)),"")</f>
        <v/>
      </c>
      <c r="N10" s="55" t="str">
        <f>IF(AND(N$8&gt;='작업 관리'!$E10,N$8&lt;='작업 관리'!$F10),IF('작업 관리'!$I10="마일스톤",3,IF('작업 관리'!$G10="완료",2,1)),"")</f>
        <v/>
      </c>
      <c r="O10" s="55" t="str">
        <f>IF(AND(O$8&gt;='작업 관리'!$E10,O$8&lt;='작업 관리'!$F10),IF('작업 관리'!$I10="마일스톤",3,IF('작업 관리'!$G10="완료",2,1)),"")</f>
        <v/>
      </c>
      <c r="P10" s="56" t="str">
        <f>IF(AND(P$8&gt;='작업 관리'!$E10,P$8&lt;='작업 관리'!$F10),IF('작업 관리'!$I10="마일스톤",3,IF('작업 관리'!$G10="완료",2,1)),"")</f>
        <v/>
      </c>
      <c r="Q10" s="56" t="str">
        <f>IF(AND(Q$8&gt;='작업 관리'!$E10,Q$8&lt;='작업 관리'!$F10),IF('작업 관리'!$I10="마일스톤",3,IF('작업 관리'!$G10="완료",2,1)),"")</f>
        <v/>
      </c>
      <c r="R10" s="56" t="str">
        <f>IF(AND(R$8&gt;='작업 관리'!$E10,R$8&lt;='작업 관리'!$F10),IF('작업 관리'!$I10="마일스톤",3,IF('작업 관리'!$G10="완료",2,1)),"")</f>
        <v/>
      </c>
      <c r="S10" s="56" t="str">
        <f>IF(AND(S$8&gt;='작업 관리'!$E10,S$8&lt;='작업 관리'!$F10),IF('작업 관리'!$I10="마일스톤",3,IF('작업 관리'!$G10="완료",2,1)),"")</f>
        <v/>
      </c>
    </row>
    <row r="11" spans="1:19" ht="48" customHeight="1">
      <c r="A11" s="38" t="str">
        <f>'작업 관리'!A11</f>
        <v>1.3</v>
      </c>
      <c r="B11" s="17" t="str">
        <f>'작업 관리'!C11</f>
        <v>범위와 역할 분담 합의</v>
      </c>
      <c r="C11" s="4" t="str">
        <f>'작업 관리'!D11</f>
        <v>김동혁</v>
      </c>
      <c r="D11" s="54" t="str">
        <f>IF(AND(D$8&gt;='작업 관리'!$E11,D$8&lt;='작업 관리'!$F11),IF('작업 관리'!$I11="마일스톤",3,IF('작업 관리'!$G11="완료",2,1)),"")</f>
        <v/>
      </c>
      <c r="E11" s="54">
        <f>IF(AND(E$8&gt;='작업 관리'!$E11,E$8&lt;='작업 관리'!$F11),IF('작업 관리'!$I11="마일스톤",3,IF('작업 관리'!$G11="완료",2,1)),"")</f>
        <v>2</v>
      </c>
      <c r="F11" s="54" t="str">
        <f>IF(AND(F$8&gt;='작업 관리'!$E11,F$8&lt;='작업 관리'!$F11),IF('작업 관리'!$I11="마일스톤",3,IF('작업 관리'!$G11="완료",2,1)),"")</f>
        <v/>
      </c>
      <c r="G11" s="55" t="str">
        <f>IF(AND(G$8&gt;='작업 관리'!$E11,G$8&lt;='작업 관리'!$F11),IF('작업 관리'!$I11="마일스톤",3,IF('작업 관리'!$G11="완료",2,1)),"")</f>
        <v/>
      </c>
      <c r="H11" s="55" t="str">
        <f>IF(AND(H$8&gt;='작업 관리'!$E11,H$8&lt;='작업 관리'!$F11),IF('작업 관리'!$I11="마일스톤",3,IF('작업 관리'!$G11="완료",2,1)),"")</f>
        <v/>
      </c>
      <c r="I11" s="54" t="str">
        <f>IF(AND(I$8&gt;='작업 관리'!$E11,I$8&lt;='작업 관리'!$F11),IF('작업 관리'!$I11="마일스톤",3,IF('작업 관리'!$G11="완료",2,1)),"")</f>
        <v/>
      </c>
      <c r="J11" s="54" t="str">
        <f>IF(AND(J$8&gt;='작업 관리'!$E11,J$8&lt;='작업 관리'!$F11),IF('작업 관리'!$I11="마일스톤",3,IF('작업 관리'!$G11="완료",2,1)),"")</f>
        <v/>
      </c>
      <c r="K11" s="54" t="str">
        <f>IF(AND(K$8&gt;='작업 관리'!$E11,K$8&lt;='작업 관리'!$F11),IF('작업 관리'!$I11="마일스톤",3,IF('작업 관리'!$G11="완료",2,1)),"")</f>
        <v/>
      </c>
      <c r="L11" s="54" t="str">
        <f>IF(AND(L$8&gt;='작업 관리'!$E11,L$8&lt;='작업 관리'!$F11),IF('작업 관리'!$I11="마일스톤",3,IF('작업 관리'!$G11="완료",2,1)),"")</f>
        <v/>
      </c>
      <c r="M11" s="54" t="str">
        <f>IF(AND(M$8&gt;='작업 관리'!$E11,M$8&lt;='작업 관리'!$F11),IF('작업 관리'!$I11="마일스톤",3,IF('작업 관리'!$G11="완료",2,1)),"")</f>
        <v/>
      </c>
      <c r="N11" s="55" t="str">
        <f>IF(AND(N$8&gt;='작업 관리'!$E11,N$8&lt;='작업 관리'!$F11),IF('작업 관리'!$I11="마일스톤",3,IF('작업 관리'!$G11="완료",2,1)),"")</f>
        <v/>
      </c>
      <c r="O11" s="55" t="str">
        <f>IF(AND(O$8&gt;='작업 관리'!$E11,O$8&lt;='작업 관리'!$F11),IF('작업 관리'!$I11="마일스톤",3,IF('작업 관리'!$G11="완료",2,1)),"")</f>
        <v/>
      </c>
      <c r="P11" s="54" t="str">
        <f>IF(AND(P$8&gt;='작업 관리'!$E11,P$8&lt;='작업 관리'!$F11),IF('작업 관리'!$I11="마일스톤",3,IF('작업 관리'!$G11="완료",2,1)),"")</f>
        <v/>
      </c>
      <c r="Q11" s="54" t="str">
        <f>IF(AND(Q$8&gt;='작업 관리'!$E11,Q$8&lt;='작업 관리'!$F11),IF('작업 관리'!$I11="마일스톤",3,IF('작업 관리'!$G11="완료",2,1)),"")</f>
        <v/>
      </c>
      <c r="R11" s="54" t="str">
        <f>IF(AND(R$8&gt;='작업 관리'!$E11,R$8&lt;='작업 관리'!$F11),IF('작업 관리'!$I11="마일스톤",3,IF('작업 관리'!$G11="완료",2,1)),"")</f>
        <v/>
      </c>
      <c r="S11" s="54" t="str">
        <f>IF(AND(S$8&gt;='작업 관리'!$E11,S$8&lt;='작업 관리'!$F11),IF('작업 관리'!$I11="마일스톤",3,IF('작업 관리'!$G11="완료",2,1)),"")</f>
        <v/>
      </c>
    </row>
    <row r="12" spans="1:19" ht="48" customHeight="1">
      <c r="A12" s="33" t="str">
        <f>'작업 관리'!A12</f>
        <v>1.4</v>
      </c>
      <c r="B12" s="20" t="str">
        <f>'작업 관리'!C12</f>
        <v>확정 4개 업종과 수집 범위 점검</v>
      </c>
      <c r="C12" s="23" t="str">
        <f>'작업 관리'!D12</f>
        <v>김동민</v>
      </c>
      <c r="D12" s="56" t="str">
        <f>IF(AND(D$8&gt;='작업 관리'!$E12,D$8&lt;='작업 관리'!$F12),IF('작업 관리'!$I12="마일스톤",3,IF('작업 관리'!$G12="완료",2,1)),"")</f>
        <v/>
      </c>
      <c r="E12" s="56">
        <f>IF(AND(E$8&gt;='작업 관리'!$E12,E$8&lt;='작업 관리'!$F12),IF('작업 관리'!$I12="마일스톤",3,IF('작업 관리'!$G12="완료",2,1)),"")</f>
        <v>1</v>
      </c>
      <c r="F12" s="56">
        <f>IF(AND(F$8&gt;='작업 관리'!$E12,F$8&lt;='작업 관리'!$F12),IF('작업 관리'!$I12="마일스톤",3,IF('작업 관리'!$G12="완료",2,1)),"")</f>
        <v>1</v>
      </c>
      <c r="G12" s="55" t="str">
        <f>IF(AND(G$8&gt;='작업 관리'!$E12,G$8&lt;='작업 관리'!$F12),IF('작업 관리'!$I12="마일스톤",3,IF('작업 관리'!$G12="완료",2,1)),"")</f>
        <v/>
      </c>
      <c r="H12" s="55" t="str">
        <f>IF(AND(H$8&gt;='작업 관리'!$E12,H$8&lt;='작업 관리'!$F12),IF('작업 관리'!$I12="마일스톤",3,IF('작업 관리'!$G12="완료",2,1)),"")</f>
        <v/>
      </c>
      <c r="I12" s="56" t="str">
        <f>IF(AND(I$8&gt;='작업 관리'!$E12,I$8&lt;='작업 관리'!$F12),IF('작업 관리'!$I12="마일스톤",3,IF('작업 관리'!$G12="완료",2,1)),"")</f>
        <v/>
      </c>
      <c r="J12" s="56" t="str">
        <f>IF(AND(J$8&gt;='작업 관리'!$E12,J$8&lt;='작업 관리'!$F12),IF('작업 관리'!$I12="마일스톤",3,IF('작업 관리'!$G12="완료",2,1)),"")</f>
        <v/>
      </c>
      <c r="K12" s="56" t="str">
        <f>IF(AND(K$8&gt;='작업 관리'!$E12,K$8&lt;='작업 관리'!$F12),IF('작업 관리'!$I12="마일스톤",3,IF('작업 관리'!$G12="완료",2,1)),"")</f>
        <v/>
      </c>
      <c r="L12" s="56" t="str">
        <f>IF(AND(L$8&gt;='작업 관리'!$E12,L$8&lt;='작업 관리'!$F12),IF('작업 관리'!$I12="마일스톤",3,IF('작업 관리'!$G12="완료",2,1)),"")</f>
        <v/>
      </c>
      <c r="M12" s="56" t="str">
        <f>IF(AND(M$8&gt;='작업 관리'!$E12,M$8&lt;='작업 관리'!$F12),IF('작업 관리'!$I12="마일스톤",3,IF('작업 관리'!$G12="완료",2,1)),"")</f>
        <v/>
      </c>
      <c r="N12" s="55" t="str">
        <f>IF(AND(N$8&gt;='작업 관리'!$E12,N$8&lt;='작업 관리'!$F12),IF('작업 관리'!$I12="마일스톤",3,IF('작업 관리'!$G12="완료",2,1)),"")</f>
        <v/>
      </c>
      <c r="O12" s="55" t="str">
        <f>IF(AND(O$8&gt;='작업 관리'!$E12,O$8&lt;='작업 관리'!$F12),IF('작업 관리'!$I12="마일스톤",3,IF('작업 관리'!$G12="완료",2,1)),"")</f>
        <v/>
      </c>
      <c r="P12" s="56" t="str">
        <f>IF(AND(P$8&gt;='작업 관리'!$E12,P$8&lt;='작업 관리'!$F12),IF('작업 관리'!$I12="마일스톤",3,IF('작업 관리'!$G12="완료",2,1)),"")</f>
        <v/>
      </c>
      <c r="Q12" s="56" t="str">
        <f>IF(AND(Q$8&gt;='작업 관리'!$E12,Q$8&lt;='작업 관리'!$F12),IF('작업 관리'!$I12="마일스톤",3,IF('작업 관리'!$G12="완료",2,1)),"")</f>
        <v/>
      </c>
      <c r="R12" s="56" t="str">
        <f>IF(AND(R$8&gt;='작업 관리'!$E12,R$8&lt;='작업 관리'!$F12),IF('작업 관리'!$I12="마일스톤",3,IF('작업 관리'!$G12="완료",2,1)),"")</f>
        <v/>
      </c>
      <c r="S12" s="56" t="str">
        <f>IF(AND(S$8&gt;='작업 관리'!$E12,S$8&lt;='작업 관리'!$F12),IF('작업 관리'!$I12="마일스톤",3,IF('작업 관리'!$G12="완료",2,1)),"")</f>
        <v/>
      </c>
    </row>
    <row r="13" spans="1:19" ht="48" customHeight="1">
      <c r="A13" s="38" t="str">
        <f>'작업 관리'!A13</f>
        <v>1.6</v>
      </c>
      <c r="B13" s="17" t="str">
        <f>'작업 관리'!C13</f>
        <v>재무비율·계정·업종 계산 기준 정의</v>
      </c>
      <c r="C13" s="4" t="str">
        <f>'작업 관리'!D13</f>
        <v>오준탁</v>
      </c>
      <c r="D13" s="54" t="str">
        <f>IF(AND(D$8&gt;='작업 관리'!$E13,D$8&lt;='작업 관리'!$F13),IF('작업 관리'!$I13="마일스톤",3,IF('작업 관리'!$G13="완료",2,1)),"")</f>
        <v/>
      </c>
      <c r="E13" s="54">
        <f>IF(AND(E$8&gt;='작업 관리'!$E13,E$8&lt;='작업 관리'!$F13),IF('작업 관리'!$I13="마일스톤",3,IF('작업 관리'!$G13="완료",2,1)),"")</f>
        <v>2</v>
      </c>
      <c r="F13" s="54">
        <f>IF(AND(F$8&gt;='작업 관리'!$E13,F$8&lt;='작업 관리'!$F13),IF('작업 관리'!$I13="마일스톤",3,IF('작업 관리'!$G13="완료",2,1)),"")</f>
        <v>2</v>
      </c>
      <c r="G13" s="55" t="str">
        <f>IF(AND(G$8&gt;='작업 관리'!$E13,G$8&lt;='작업 관리'!$F13),IF('작업 관리'!$I13="마일스톤",3,IF('작업 관리'!$G13="완료",2,1)),"")</f>
        <v/>
      </c>
      <c r="H13" s="55" t="str">
        <f>IF(AND(H$8&gt;='작업 관리'!$E13,H$8&lt;='작업 관리'!$F13),IF('작업 관리'!$I13="마일스톤",3,IF('작업 관리'!$G13="완료",2,1)),"")</f>
        <v/>
      </c>
      <c r="I13" s="54" t="str">
        <f>IF(AND(I$8&gt;='작업 관리'!$E13,I$8&lt;='작업 관리'!$F13),IF('작업 관리'!$I13="마일스톤",3,IF('작업 관리'!$G13="완료",2,1)),"")</f>
        <v/>
      </c>
      <c r="J13" s="54" t="str">
        <f>IF(AND(J$8&gt;='작업 관리'!$E13,J$8&lt;='작업 관리'!$F13),IF('작업 관리'!$I13="마일스톤",3,IF('작업 관리'!$G13="완료",2,1)),"")</f>
        <v/>
      </c>
      <c r="K13" s="54" t="str">
        <f>IF(AND(K$8&gt;='작업 관리'!$E13,K$8&lt;='작업 관리'!$F13),IF('작업 관리'!$I13="마일스톤",3,IF('작업 관리'!$G13="완료",2,1)),"")</f>
        <v/>
      </c>
      <c r="L13" s="54" t="str">
        <f>IF(AND(L$8&gt;='작업 관리'!$E13,L$8&lt;='작업 관리'!$F13),IF('작업 관리'!$I13="마일스톤",3,IF('작업 관리'!$G13="완료",2,1)),"")</f>
        <v/>
      </c>
      <c r="M13" s="54" t="str">
        <f>IF(AND(M$8&gt;='작업 관리'!$E13,M$8&lt;='작업 관리'!$F13),IF('작업 관리'!$I13="마일스톤",3,IF('작업 관리'!$G13="완료",2,1)),"")</f>
        <v/>
      </c>
      <c r="N13" s="55" t="str">
        <f>IF(AND(N$8&gt;='작업 관리'!$E13,N$8&lt;='작업 관리'!$F13),IF('작업 관리'!$I13="마일스톤",3,IF('작업 관리'!$G13="완료",2,1)),"")</f>
        <v/>
      </c>
      <c r="O13" s="55" t="str">
        <f>IF(AND(O$8&gt;='작업 관리'!$E13,O$8&lt;='작업 관리'!$F13),IF('작업 관리'!$I13="마일스톤",3,IF('작업 관리'!$G13="완료",2,1)),"")</f>
        <v/>
      </c>
      <c r="P13" s="54" t="str">
        <f>IF(AND(P$8&gt;='작업 관리'!$E13,P$8&lt;='작업 관리'!$F13),IF('작업 관리'!$I13="마일스톤",3,IF('작업 관리'!$G13="완료",2,1)),"")</f>
        <v/>
      </c>
      <c r="Q13" s="54" t="str">
        <f>IF(AND(Q$8&gt;='작업 관리'!$E13,Q$8&lt;='작업 관리'!$F13),IF('작업 관리'!$I13="마일스톤",3,IF('작업 관리'!$G13="완료",2,1)),"")</f>
        <v/>
      </c>
      <c r="R13" s="54" t="str">
        <f>IF(AND(R$8&gt;='작업 관리'!$E13,R$8&lt;='작업 관리'!$F13),IF('작업 관리'!$I13="마일스톤",3,IF('작업 관리'!$G13="완료",2,1)),"")</f>
        <v/>
      </c>
      <c r="S13" s="54" t="str">
        <f>IF(AND(S$8&gt;='작업 관리'!$E13,S$8&lt;='작업 관리'!$F13),IF('작업 관리'!$I13="마일스톤",3,IF('작업 관리'!$G13="완료",2,1)),"")</f>
        <v/>
      </c>
    </row>
    <row r="14" spans="1:19" ht="48" customHeight="1">
      <c r="A14" s="33" t="str">
        <f>'작업 관리'!A14</f>
        <v>1.7</v>
      </c>
      <c r="B14" s="20" t="str">
        <f>'작업 관리'!C14</f>
        <v>상환·연체 위험 사건과 12개월 라벨 정의</v>
      </c>
      <c r="C14" s="23" t="str">
        <f>'작업 관리'!D14</f>
        <v>김동혁</v>
      </c>
      <c r="D14" s="56" t="str">
        <f>IF(AND(D$8&gt;='작업 관리'!$E14,D$8&lt;='작업 관리'!$F14),IF('작업 관리'!$I14="마일스톤",3,IF('작업 관리'!$G14="완료",2,1)),"")</f>
        <v/>
      </c>
      <c r="E14" s="56">
        <f>IF(AND(E$8&gt;='작업 관리'!$E14,E$8&lt;='작업 관리'!$F14),IF('작업 관리'!$I14="마일스톤",3,IF('작업 관리'!$G14="완료",2,1)),"")</f>
        <v>2</v>
      </c>
      <c r="F14" s="56">
        <f>IF(AND(F$8&gt;='작업 관리'!$E14,F$8&lt;='작업 관리'!$F14),IF('작업 관리'!$I14="마일스톤",3,IF('작업 관리'!$G14="완료",2,1)),"")</f>
        <v>2</v>
      </c>
      <c r="G14" s="55" t="str">
        <f>IF(AND(G$8&gt;='작업 관리'!$E14,G$8&lt;='작업 관리'!$F14),IF('작업 관리'!$I14="마일스톤",3,IF('작업 관리'!$G14="완료",2,1)),"")</f>
        <v/>
      </c>
      <c r="H14" s="55" t="str">
        <f>IF(AND(H$8&gt;='작업 관리'!$E14,H$8&lt;='작업 관리'!$F14),IF('작업 관리'!$I14="마일스톤",3,IF('작업 관리'!$G14="완료",2,1)),"")</f>
        <v/>
      </c>
      <c r="I14" s="56" t="str">
        <f>IF(AND(I$8&gt;='작업 관리'!$E14,I$8&lt;='작업 관리'!$F14),IF('작업 관리'!$I14="마일스톤",3,IF('작업 관리'!$G14="완료",2,1)),"")</f>
        <v/>
      </c>
      <c r="J14" s="56" t="str">
        <f>IF(AND(J$8&gt;='작업 관리'!$E14,J$8&lt;='작업 관리'!$F14),IF('작업 관리'!$I14="마일스톤",3,IF('작업 관리'!$G14="완료",2,1)),"")</f>
        <v/>
      </c>
      <c r="K14" s="56" t="str">
        <f>IF(AND(K$8&gt;='작업 관리'!$E14,K$8&lt;='작업 관리'!$F14),IF('작업 관리'!$I14="마일스톤",3,IF('작업 관리'!$G14="완료",2,1)),"")</f>
        <v/>
      </c>
      <c r="L14" s="56" t="str">
        <f>IF(AND(L$8&gt;='작업 관리'!$E14,L$8&lt;='작업 관리'!$F14),IF('작업 관리'!$I14="마일스톤",3,IF('작업 관리'!$G14="완료",2,1)),"")</f>
        <v/>
      </c>
      <c r="M14" s="56" t="str">
        <f>IF(AND(M$8&gt;='작업 관리'!$E14,M$8&lt;='작업 관리'!$F14),IF('작업 관리'!$I14="마일스톤",3,IF('작업 관리'!$G14="완료",2,1)),"")</f>
        <v/>
      </c>
      <c r="N14" s="55" t="str">
        <f>IF(AND(N$8&gt;='작업 관리'!$E14,N$8&lt;='작업 관리'!$F14),IF('작업 관리'!$I14="마일스톤",3,IF('작업 관리'!$G14="완료",2,1)),"")</f>
        <v/>
      </c>
      <c r="O14" s="55" t="str">
        <f>IF(AND(O$8&gt;='작업 관리'!$E14,O$8&lt;='작업 관리'!$F14),IF('작업 관리'!$I14="마일스톤",3,IF('작업 관리'!$G14="완료",2,1)),"")</f>
        <v/>
      </c>
      <c r="P14" s="56" t="str">
        <f>IF(AND(P$8&gt;='작업 관리'!$E14,P$8&lt;='작업 관리'!$F14),IF('작업 관리'!$I14="마일스톤",3,IF('작업 관리'!$G14="완료",2,1)),"")</f>
        <v/>
      </c>
      <c r="Q14" s="56" t="str">
        <f>IF(AND(Q$8&gt;='작업 관리'!$E14,Q$8&lt;='작업 관리'!$F14),IF('작업 관리'!$I14="마일스톤",3,IF('작업 관리'!$G14="완료",2,1)),"")</f>
        <v/>
      </c>
      <c r="R14" s="56" t="str">
        <f>IF(AND(R$8&gt;='작업 관리'!$E14,R$8&lt;='작업 관리'!$F14),IF('작업 관리'!$I14="마일스톤",3,IF('작업 관리'!$G14="완료",2,1)),"")</f>
        <v/>
      </c>
      <c r="S14" s="56" t="str">
        <f>IF(AND(S$8&gt;='작업 관리'!$E14,S$8&lt;='작업 관리'!$F14),IF('작업 관리'!$I14="마일스톤",3,IF('작업 관리'!$G14="완료",2,1)),"")</f>
        <v/>
      </c>
    </row>
    <row r="15" spans="1:19" ht="48" customHeight="1">
      <c r="A15" s="38" t="str">
        <f>'작업 관리'!A15</f>
        <v>1.8</v>
      </c>
      <c r="B15" s="17" t="str">
        <f>'작업 관리'!C15</f>
        <v>기획 발표자료에 최신 범위 반영</v>
      </c>
      <c r="C15" s="4" t="str">
        <f>'작업 관리'!D15</f>
        <v>오준탁</v>
      </c>
      <c r="D15" s="54" t="str">
        <f>IF(AND(D$8&gt;='작업 관리'!$E15,D$8&lt;='작업 관리'!$F15),IF('작업 관리'!$I15="마일스톤",3,IF('작업 관리'!$G15="완료",2,1)),"")</f>
        <v/>
      </c>
      <c r="E15" s="54">
        <f>IF(AND(E$8&gt;='작업 관리'!$E15,E$8&lt;='작업 관리'!$F15),IF('작업 관리'!$I15="마일스톤",3,IF('작업 관리'!$G15="완료",2,1)),"")</f>
        <v>1</v>
      </c>
      <c r="F15" s="54">
        <f>IF(AND(F$8&gt;='작업 관리'!$E15,F$8&lt;='작업 관리'!$F15),IF('작업 관리'!$I15="마일스톤",3,IF('작업 관리'!$G15="완료",2,1)),"")</f>
        <v>1</v>
      </c>
      <c r="G15" s="55" t="str">
        <f>IF(AND(G$8&gt;='작업 관리'!$E15,G$8&lt;='작업 관리'!$F15),IF('작업 관리'!$I15="마일스톤",3,IF('작업 관리'!$G15="완료",2,1)),"")</f>
        <v/>
      </c>
      <c r="H15" s="55" t="str">
        <f>IF(AND(H$8&gt;='작업 관리'!$E15,H$8&lt;='작업 관리'!$F15),IF('작업 관리'!$I15="마일스톤",3,IF('작업 관리'!$G15="완료",2,1)),"")</f>
        <v/>
      </c>
      <c r="I15" s="54" t="str">
        <f>IF(AND(I$8&gt;='작업 관리'!$E15,I$8&lt;='작업 관리'!$F15),IF('작업 관리'!$I15="마일스톤",3,IF('작업 관리'!$G15="완료",2,1)),"")</f>
        <v/>
      </c>
      <c r="J15" s="54" t="str">
        <f>IF(AND(J$8&gt;='작업 관리'!$E15,J$8&lt;='작업 관리'!$F15),IF('작업 관리'!$I15="마일스톤",3,IF('작업 관리'!$G15="완료",2,1)),"")</f>
        <v/>
      </c>
      <c r="K15" s="54" t="str">
        <f>IF(AND(K$8&gt;='작업 관리'!$E15,K$8&lt;='작업 관리'!$F15),IF('작업 관리'!$I15="마일스톤",3,IF('작업 관리'!$G15="완료",2,1)),"")</f>
        <v/>
      </c>
      <c r="L15" s="54" t="str">
        <f>IF(AND(L$8&gt;='작업 관리'!$E15,L$8&lt;='작업 관리'!$F15),IF('작업 관리'!$I15="마일스톤",3,IF('작업 관리'!$G15="완료",2,1)),"")</f>
        <v/>
      </c>
      <c r="M15" s="54" t="str">
        <f>IF(AND(M$8&gt;='작업 관리'!$E15,M$8&lt;='작업 관리'!$F15),IF('작업 관리'!$I15="마일스톤",3,IF('작업 관리'!$G15="완료",2,1)),"")</f>
        <v/>
      </c>
      <c r="N15" s="55" t="str">
        <f>IF(AND(N$8&gt;='작업 관리'!$E15,N$8&lt;='작업 관리'!$F15),IF('작업 관리'!$I15="마일스톤",3,IF('작업 관리'!$G15="완료",2,1)),"")</f>
        <v/>
      </c>
      <c r="O15" s="55" t="str">
        <f>IF(AND(O$8&gt;='작업 관리'!$E15,O$8&lt;='작업 관리'!$F15),IF('작업 관리'!$I15="마일스톤",3,IF('작업 관리'!$G15="완료",2,1)),"")</f>
        <v/>
      </c>
      <c r="P15" s="54" t="str">
        <f>IF(AND(P$8&gt;='작업 관리'!$E15,P$8&lt;='작업 관리'!$F15),IF('작업 관리'!$I15="마일스톤",3,IF('작업 관리'!$G15="완료",2,1)),"")</f>
        <v/>
      </c>
      <c r="Q15" s="54" t="str">
        <f>IF(AND(Q$8&gt;='작업 관리'!$E15,Q$8&lt;='작업 관리'!$F15),IF('작업 관리'!$I15="마일스톤",3,IF('작업 관리'!$G15="완료",2,1)),"")</f>
        <v/>
      </c>
      <c r="R15" s="54" t="str">
        <f>IF(AND(R$8&gt;='작업 관리'!$E15,R$8&lt;='작업 관리'!$F15),IF('작업 관리'!$I15="마일스톤",3,IF('작업 관리'!$G15="완료",2,1)),"")</f>
        <v/>
      </c>
      <c r="S15" s="54" t="str">
        <f>IF(AND(S$8&gt;='작업 관리'!$E15,S$8&lt;='작업 관리'!$F15),IF('작업 관리'!$I15="마일스톤",3,IF('작업 관리'!$G15="완료",2,1)),"")</f>
        <v/>
      </c>
    </row>
    <row r="16" spans="1:19" ht="48" customHeight="1">
      <c r="A16" s="33" t="str">
        <f>'작업 관리'!A16</f>
        <v>1.5</v>
      </c>
      <c r="B16" s="20" t="str">
        <f>'작업 관리'!C16</f>
        <v>기능 검증·원문 정답지 표본 선정</v>
      </c>
      <c r="C16" s="23" t="str">
        <f>'작업 관리'!D16</f>
        <v>최수인</v>
      </c>
      <c r="D16" s="56" t="str">
        <f>IF(AND(D$8&gt;='작업 관리'!$E16,D$8&lt;='작업 관리'!$F16),IF('작업 관리'!$I16="마일스톤",3,IF('작업 관리'!$G16="완료",2,1)),"")</f>
        <v/>
      </c>
      <c r="E16" s="56" t="str">
        <f>IF(AND(E$8&gt;='작업 관리'!$E16,E$8&lt;='작업 관리'!$F16),IF('작업 관리'!$I16="마일스톤",3,IF('작업 관리'!$G16="완료",2,1)),"")</f>
        <v/>
      </c>
      <c r="F16" s="56">
        <f>IF(AND(F$8&gt;='작업 관리'!$E16,F$8&lt;='작업 관리'!$F16),IF('작업 관리'!$I16="마일스톤",3,IF('작업 관리'!$G16="완료",2,1)),"")</f>
        <v>1</v>
      </c>
      <c r="G16" s="55" t="str">
        <f>IF(AND(G$8&gt;='작업 관리'!$E16,G$8&lt;='작업 관리'!$F16),IF('작업 관리'!$I16="마일스톤",3,IF('작업 관리'!$G16="완료",2,1)),"")</f>
        <v/>
      </c>
      <c r="H16" s="55" t="str">
        <f>IF(AND(H$8&gt;='작업 관리'!$E16,H$8&lt;='작업 관리'!$F16),IF('작업 관리'!$I16="마일스톤",3,IF('작업 관리'!$G16="완료",2,1)),"")</f>
        <v/>
      </c>
      <c r="I16" s="56" t="str">
        <f>IF(AND(I$8&gt;='작업 관리'!$E16,I$8&lt;='작업 관리'!$F16),IF('작업 관리'!$I16="마일스톤",3,IF('작업 관리'!$G16="완료",2,1)),"")</f>
        <v/>
      </c>
      <c r="J16" s="56" t="str">
        <f>IF(AND(J$8&gt;='작업 관리'!$E16,J$8&lt;='작업 관리'!$F16),IF('작업 관리'!$I16="마일스톤",3,IF('작업 관리'!$G16="완료",2,1)),"")</f>
        <v/>
      </c>
      <c r="K16" s="56" t="str">
        <f>IF(AND(K$8&gt;='작업 관리'!$E16,K$8&lt;='작업 관리'!$F16),IF('작업 관리'!$I16="마일스톤",3,IF('작업 관리'!$G16="완료",2,1)),"")</f>
        <v/>
      </c>
      <c r="L16" s="56" t="str">
        <f>IF(AND(L$8&gt;='작업 관리'!$E16,L$8&lt;='작업 관리'!$F16),IF('작업 관리'!$I16="마일스톤",3,IF('작업 관리'!$G16="완료",2,1)),"")</f>
        <v/>
      </c>
      <c r="M16" s="56" t="str">
        <f>IF(AND(M$8&gt;='작업 관리'!$E16,M$8&lt;='작업 관리'!$F16),IF('작업 관리'!$I16="마일스톤",3,IF('작업 관리'!$G16="완료",2,1)),"")</f>
        <v/>
      </c>
      <c r="N16" s="55" t="str">
        <f>IF(AND(N$8&gt;='작업 관리'!$E16,N$8&lt;='작업 관리'!$F16),IF('작업 관리'!$I16="마일스톤",3,IF('작업 관리'!$G16="완료",2,1)),"")</f>
        <v/>
      </c>
      <c r="O16" s="55" t="str">
        <f>IF(AND(O$8&gt;='작업 관리'!$E16,O$8&lt;='작업 관리'!$F16),IF('작업 관리'!$I16="마일스톤",3,IF('작업 관리'!$G16="완료",2,1)),"")</f>
        <v/>
      </c>
      <c r="P16" s="56" t="str">
        <f>IF(AND(P$8&gt;='작업 관리'!$E16,P$8&lt;='작업 관리'!$F16),IF('작업 관리'!$I16="마일스톤",3,IF('작업 관리'!$G16="완료",2,1)),"")</f>
        <v/>
      </c>
      <c r="Q16" s="56" t="str">
        <f>IF(AND(Q$8&gt;='작업 관리'!$E16,Q$8&lt;='작업 관리'!$F16),IF('작업 관리'!$I16="마일스톤",3,IF('작업 관리'!$G16="완료",2,1)),"")</f>
        <v/>
      </c>
      <c r="R16" s="56" t="str">
        <f>IF(AND(R$8&gt;='작업 관리'!$E16,R$8&lt;='작업 관리'!$F16),IF('작업 관리'!$I16="마일스톤",3,IF('작업 관리'!$G16="완료",2,1)),"")</f>
        <v/>
      </c>
      <c r="S16" s="56" t="str">
        <f>IF(AND(S$8&gt;='작업 관리'!$E16,S$8&lt;='작업 관리'!$F16),IF('작업 관리'!$I16="마일스톤",3,IF('작업 관리'!$G16="완료",2,1)),"")</f>
        <v/>
      </c>
    </row>
    <row r="17" spans="1:19" ht="48" customHeight="1">
      <c r="A17" s="38" t="str">
        <f>'작업 관리'!A17</f>
        <v>1.M1</v>
      </c>
      <c r="B17" s="17" t="str">
        <f>'작업 관리'!C17</f>
        <v>업종·데이터·모델 설계 기준 확정</v>
      </c>
      <c r="C17" s="4" t="str">
        <f>'작업 관리'!D17</f>
        <v>김동혁</v>
      </c>
      <c r="D17" s="54" t="str">
        <f>IF(AND(D$8&gt;='작업 관리'!$E17,D$8&lt;='작업 관리'!$F17),IF('작업 관리'!$I17="마일스톤",3,IF('작업 관리'!$G17="완료",2,1)),"")</f>
        <v/>
      </c>
      <c r="E17" s="54" t="str">
        <f>IF(AND(E$8&gt;='작업 관리'!$E17,E$8&lt;='작업 관리'!$F17),IF('작업 관리'!$I17="마일스톤",3,IF('작업 관리'!$G17="완료",2,1)),"")</f>
        <v/>
      </c>
      <c r="F17" s="54">
        <f>IF(AND(F$8&gt;='작업 관리'!$E17,F$8&lt;='작업 관리'!$F17),IF('작업 관리'!$I17="마일스톤",3,IF('작업 관리'!$G17="완료",2,1)),"")</f>
        <v>3</v>
      </c>
      <c r="G17" s="55" t="str">
        <f>IF(AND(G$8&gt;='작업 관리'!$E17,G$8&lt;='작업 관리'!$F17),IF('작업 관리'!$I17="마일스톤",3,IF('작업 관리'!$G17="완료",2,1)),"")</f>
        <v/>
      </c>
      <c r="H17" s="55" t="str">
        <f>IF(AND(H$8&gt;='작업 관리'!$E17,H$8&lt;='작업 관리'!$F17),IF('작업 관리'!$I17="마일스톤",3,IF('작업 관리'!$G17="완료",2,1)),"")</f>
        <v/>
      </c>
      <c r="I17" s="54" t="str">
        <f>IF(AND(I$8&gt;='작업 관리'!$E17,I$8&lt;='작업 관리'!$F17),IF('작업 관리'!$I17="마일스톤",3,IF('작업 관리'!$G17="완료",2,1)),"")</f>
        <v/>
      </c>
      <c r="J17" s="54" t="str">
        <f>IF(AND(J$8&gt;='작업 관리'!$E17,J$8&lt;='작업 관리'!$F17),IF('작업 관리'!$I17="마일스톤",3,IF('작업 관리'!$G17="완료",2,1)),"")</f>
        <v/>
      </c>
      <c r="K17" s="54" t="str">
        <f>IF(AND(K$8&gt;='작업 관리'!$E17,K$8&lt;='작업 관리'!$F17),IF('작업 관리'!$I17="마일스톤",3,IF('작업 관리'!$G17="완료",2,1)),"")</f>
        <v/>
      </c>
      <c r="L17" s="54" t="str">
        <f>IF(AND(L$8&gt;='작업 관리'!$E17,L$8&lt;='작업 관리'!$F17),IF('작업 관리'!$I17="마일스톤",3,IF('작업 관리'!$G17="완료",2,1)),"")</f>
        <v/>
      </c>
      <c r="M17" s="54" t="str">
        <f>IF(AND(M$8&gt;='작업 관리'!$E17,M$8&lt;='작업 관리'!$F17),IF('작업 관리'!$I17="마일스톤",3,IF('작업 관리'!$G17="완료",2,1)),"")</f>
        <v/>
      </c>
      <c r="N17" s="55" t="str">
        <f>IF(AND(N$8&gt;='작업 관리'!$E17,N$8&lt;='작업 관리'!$F17),IF('작업 관리'!$I17="마일스톤",3,IF('작업 관리'!$G17="완료",2,1)),"")</f>
        <v/>
      </c>
      <c r="O17" s="55" t="str">
        <f>IF(AND(O$8&gt;='작업 관리'!$E17,O$8&lt;='작업 관리'!$F17),IF('작업 관리'!$I17="마일스톤",3,IF('작업 관리'!$G17="완료",2,1)),"")</f>
        <v/>
      </c>
      <c r="P17" s="54" t="str">
        <f>IF(AND(P$8&gt;='작업 관리'!$E17,P$8&lt;='작업 관리'!$F17),IF('작업 관리'!$I17="마일스톤",3,IF('작업 관리'!$G17="완료",2,1)),"")</f>
        <v/>
      </c>
      <c r="Q17" s="54" t="str">
        <f>IF(AND(Q$8&gt;='작업 관리'!$E17,Q$8&lt;='작업 관리'!$F17),IF('작업 관리'!$I17="마일스톤",3,IF('작업 관리'!$G17="완료",2,1)),"")</f>
        <v/>
      </c>
      <c r="R17" s="54" t="str">
        <f>IF(AND(R$8&gt;='작업 관리'!$E17,R$8&lt;='작업 관리'!$F17),IF('작업 관리'!$I17="마일스톤",3,IF('작업 관리'!$G17="완료",2,1)),"")</f>
        <v/>
      </c>
      <c r="S17" s="54" t="str">
        <f>IF(AND(S$8&gt;='작업 관리'!$E17,S$8&lt;='작업 관리'!$F17),IF('작업 관리'!$I17="마일스톤",3,IF('작업 관리'!$G17="완료",2,1)),"")</f>
        <v/>
      </c>
    </row>
    <row r="18" spans="1:19" ht="48" customHeight="1">
      <c r="A18" s="33" t="str">
        <f>'작업 관리'!A18</f>
        <v>1.9</v>
      </c>
      <c r="B18" s="20" t="str">
        <f>'작업 관리'!C18</f>
        <v>v2.0·v0.0.4 변경 및 미정 의사결정 정리</v>
      </c>
      <c r="C18" s="23" t="str">
        <f>'작업 관리'!D18</f>
        <v>김동혁</v>
      </c>
      <c r="D18" s="56" t="str">
        <f>IF(AND(D$8&gt;='작업 관리'!$E18,D$8&lt;='작업 관리'!$F18),IF('작업 관리'!$I18="마일스톤",3,IF('작업 관리'!$G18="완료",2,1)),"")</f>
        <v/>
      </c>
      <c r="E18" s="56" t="str">
        <f>IF(AND(E$8&gt;='작업 관리'!$E18,E$8&lt;='작업 관리'!$F18),IF('작업 관리'!$I18="마일스톤",3,IF('작업 관리'!$G18="완료",2,1)),"")</f>
        <v/>
      </c>
      <c r="F18" s="56" t="str">
        <f>IF(AND(F$8&gt;='작업 관리'!$E18,F$8&lt;='작업 관리'!$F18),IF('작업 관리'!$I18="마일스톤",3,IF('작업 관리'!$G18="완료",2,1)),"")</f>
        <v/>
      </c>
      <c r="G18" s="55">
        <f>IF(AND(G$8&gt;='작업 관리'!$E18,G$8&lt;='작업 관리'!$F18),IF('작업 관리'!$I18="마일스톤",3,IF('작업 관리'!$G18="완료",2,1)),"")</f>
        <v>1</v>
      </c>
      <c r="H18" s="55" t="str">
        <f>IF(AND(H$8&gt;='작업 관리'!$E18,H$8&lt;='작업 관리'!$F18),IF('작업 관리'!$I18="마일스톤",3,IF('작업 관리'!$G18="완료",2,1)),"")</f>
        <v/>
      </c>
      <c r="I18" s="56" t="str">
        <f>IF(AND(I$8&gt;='작업 관리'!$E18,I$8&lt;='작업 관리'!$F18),IF('작업 관리'!$I18="마일스톤",3,IF('작업 관리'!$G18="완료",2,1)),"")</f>
        <v/>
      </c>
      <c r="J18" s="56" t="str">
        <f>IF(AND(J$8&gt;='작업 관리'!$E18,J$8&lt;='작업 관리'!$F18),IF('작업 관리'!$I18="마일스톤",3,IF('작업 관리'!$G18="완료",2,1)),"")</f>
        <v/>
      </c>
      <c r="K18" s="56" t="str">
        <f>IF(AND(K$8&gt;='작업 관리'!$E18,K$8&lt;='작업 관리'!$F18),IF('작업 관리'!$I18="마일스톤",3,IF('작업 관리'!$G18="완료",2,1)),"")</f>
        <v/>
      </c>
      <c r="L18" s="56" t="str">
        <f>IF(AND(L$8&gt;='작업 관리'!$E18,L$8&lt;='작업 관리'!$F18),IF('작업 관리'!$I18="마일스톤",3,IF('작업 관리'!$G18="완료",2,1)),"")</f>
        <v/>
      </c>
      <c r="M18" s="56" t="str">
        <f>IF(AND(M$8&gt;='작업 관리'!$E18,M$8&lt;='작업 관리'!$F18),IF('작업 관리'!$I18="마일스톤",3,IF('작업 관리'!$G18="완료",2,1)),"")</f>
        <v/>
      </c>
      <c r="N18" s="55" t="str">
        <f>IF(AND(N$8&gt;='작업 관리'!$E18,N$8&lt;='작업 관리'!$F18),IF('작업 관리'!$I18="마일스톤",3,IF('작업 관리'!$G18="완료",2,1)),"")</f>
        <v/>
      </c>
      <c r="O18" s="55" t="str">
        <f>IF(AND(O$8&gt;='작업 관리'!$E18,O$8&lt;='작업 관리'!$F18),IF('작업 관리'!$I18="마일스톤",3,IF('작업 관리'!$G18="완료",2,1)),"")</f>
        <v/>
      </c>
      <c r="P18" s="56" t="str">
        <f>IF(AND(P$8&gt;='작업 관리'!$E18,P$8&lt;='작업 관리'!$F18),IF('작업 관리'!$I18="마일스톤",3,IF('작업 관리'!$G18="완료",2,1)),"")</f>
        <v/>
      </c>
      <c r="Q18" s="56" t="str">
        <f>IF(AND(Q$8&gt;='작업 관리'!$E18,Q$8&lt;='작업 관리'!$F18),IF('작업 관리'!$I18="마일스톤",3,IF('작업 관리'!$G18="완료",2,1)),"")</f>
        <v/>
      </c>
      <c r="R18" s="56" t="str">
        <f>IF(AND(R$8&gt;='작업 관리'!$E18,R$8&lt;='작업 관리'!$F18),IF('작업 관리'!$I18="마일스톤",3,IF('작업 관리'!$G18="완료",2,1)),"")</f>
        <v/>
      </c>
      <c r="S18" s="56" t="str">
        <f>IF(AND(S$8&gt;='작업 관리'!$E18,S$8&lt;='작업 관리'!$F18),IF('작업 관리'!$I18="마일스톤",3,IF('작업 관리'!$G18="완료",2,1)),"")</f>
        <v/>
      </c>
    </row>
    <row r="19" spans="1:19" ht="48" customHeight="1">
      <c r="A19" s="38" t="str">
        <f>'작업 관리'!A19</f>
        <v>1.10</v>
      </c>
      <c r="B19" s="17" t="str">
        <f>'작업 관리'!C19</f>
        <v>6개 판단 축·업종 지표·단계 가설 검토</v>
      </c>
      <c r="C19" s="4" t="str">
        <f>'작업 관리'!D19</f>
        <v>오준탁</v>
      </c>
      <c r="D19" s="54" t="str">
        <f>IF(AND(D$8&gt;='작업 관리'!$E19,D$8&lt;='작업 관리'!$F19),IF('작업 관리'!$I19="마일스톤",3,IF('작업 관리'!$G19="완료",2,1)),"")</f>
        <v/>
      </c>
      <c r="E19" s="54" t="str">
        <f>IF(AND(E$8&gt;='작업 관리'!$E19,E$8&lt;='작업 관리'!$F19),IF('작업 관리'!$I19="마일스톤",3,IF('작업 관리'!$G19="완료",2,1)),"")</f>
        <v/>
      </c>
      <c r="F19" s="54" t="str">
        <f>IF(AND(F$8&gt;='작업 관리'!$E19,F$8&lt;='작업 관리'!$F19),IF('작업 관리'!$I19="마일스톤",3,IF('작업 관리'!$G19="완료",2,1)),"")</f>
        <v/>
      </c>
      <c r="G19" s="55">
        <f>IF(AND(G$8&gt;='작업 관리'!$E19,G$8&lt;='작업 관리'!$F19),IF('작업 관리'!$I19="마일스톤",3,IF('작업 관리'!$G19="완료",2,1)),"")</f>
        <v>1</v>
      </c>
      <c r="H19" s="55">
        <f>IF(AND(H$8&gt;='작업 관리'!$E19,H$8&lt;='작업 관리'!$F19),IF('작업 관리'!$I19="마일스톤",3,IF('작업 관리'!$G19="완료",2,1)),"")</f>
        <v>1</v>
      </c>
      <c r="I19" s="54">
        <f>IF(AND(I$8&gt;='작업 관리'!$E19,I$8&lt;='작업 관리'!$F19),IF('작업 관리'!$I19="마일스톤",3,IF('작업 관리'!$G19="완료",2,1)),"")</f>
        <v>1</v>
      </c>
      <c r="J19" s="54" t="str">
        <f>IF(AND(J$8&gt;='작업 관리'!$E19,J$8&lt;='작업 관리'!$F19),IF('작업 관리'!$I19="마일스톤",3,IF('작업 관리'!$G19="완료",2,1)),"")</f>
        <v/>
      </c>
      <c r="K19" s="54" t="str">
        <f>IF(AND(K$8&gt;='작업 관리'!$E19,K$8&lt;='작업 관리'!$F19),IF('작업 관리'!$I19="마일스톤",3,IF('작업 관리'!$G19="완료",2,1)),"")</f>
        <v/>
      </c>
      <c r="L19" s="54" t="str">
        <f>IF(AND(L$8&gt;='작업 관리'!$E19,L$8&lt;='작업 관리'!$F19),IF('작업 관리'!$I19="마일스톤",3,IF('작업 관리'!$G19="완료",2,1)),"")</f>
        <v/>
      </c>
      <c r="M19" s="54" t="str">
        <f>IF(AND(M$8&gt;='작업 관리'!$E19,M$8&lt;='작업 관리'!$F19),IF('작업 관리'!$I19="마일스톤",3,IF('작업 관리'!$G19="완료",2,1)),"")</f>
        <v/>
      </c>
      <c r="N19" s="55" t="str">
        <f>IF(AND(N$8&gt;='작업 관리'!$E19,N$8&lt;='작업 관리'!$F19),IF('작업 관리'!$I19="마일스톤",3,IF('작업 관리'!$G19="완료",2,1)),"")</f>
        <v/>
      </c>
      <c r="O19" s="55" t="str">
        <f>IF(AND(O$8&gt;='작업 관리'!$E19,O$8&lt;='작업 관리'!$F19),IF('작업 관리'!$I19="마일스톤",3,IF('작업 관리'!$G19="완료",2,1)),"")</f>
        <v/>
      </c>
      <c r="P19" s="54" t="str">
        <f>IF(AND(P$8&gt;='작업 관리'!$E19,P$8&lt;='작업 관리'!$F19),IF('작업 관리'!$I19="마일스톤",3,IF('작업 관리'!$G19="완료",2,1)),"")</f>
        <v/>
      </c>
      <c r="Q19" s="54" t="str">
        <f>IF(AND(Q$8&gt;='작업 관리'!$E19,Q$8&lt;='작업 관리'!$F19),IF('작업 관리'!$I19="마일스톤",3,IF('작업 관리'!$G19="완료",2,1)),"")</f>
        <v/>
      </c>
      <c r="R19" s="54" t="str">
        <f>IF(AND(R$8&gt;='작업 관리'!$E19,R$8&lt;='작업 관리'!$F19),IF('작업 관리'!$I19="마일스톤",3,IF('작업 관리'!$G19="완료",2,1)),"")</f>
        <v/>
      </c>
      <c r="S19" s="54" t="str">
        <f>IF(AND(S$8&gt;='작업 관리'!$E19,S$8&lt;='작업 관리'!$F19),IF('작업 관리'!$I19="마일스톤",3,IF('작업 관리'!$G19="완료",2,1)),"")</f>
        <v/>
      </c>
    </row>
    <row r="20" spans="1:19" ht="48" customHeight="1">
      <c r="A20" s="33" t="str">
        <f>'작업 관리'!A20</f>
        <v>2.7</v>
      </c>
      <c r="B20" s="20" t="str">
        <f>'작업 관리'!C20</f>
        <v>위험 사건 이력 수집과 원문 대조</v>
      </c>
      <c r="C20" s="23" t="str">
        <f>'작업 관리'!D20</f>
        <v>김동혁</v>
      </c>
      <c r="D20" s="56" t="str">
        <f>IF(AND(D$8&gt;='작업 관리'!$E20,D$8&lt;='작업 관리'!$F20),IF('작업 관리'!$I20="마일스톤",3,IF('작업 관리'!$G20="완료",2,1)),"")</f>
        <v/>
      </c>
      <c r="E20" s="56" t="str">
        <f>IF(AND(E$8&gt;='작업 관리'!$E20,E$8&lt;='작업 관리'!$F20),IF('작업 관리'!$I20="마일스톤",3,IF('작업 관리'!$G20="완료",2,1)),"")</f>
        <v/>
      </c>
      <c r="F20" s="56">
        <f>IF(AND(F$8&gt;='작업 관리'!$E20,F$8&lt;='작업 관리'!$F20),IF('작업 관리'!$I20="마일스톤",3,IF('작업 관리'!$G20="완료",2,1)),"")</f>
        <v>1</v>
      </c>
      <c r="G20" s="55">
        <f>IF(AND(G$8&gt;='작업 관리'!$E20,G$8&lt;='작업 관리'!$F20),IF('작업 관리'!$I20="마일스톤",3,IF('작업 관리'!$G20="완료",2,1)),"")</f>
        <v>1</v>
      </c>
      <c r="H20" s="55" t="str">
        <f>IF(AND(H$8&gt;='작업 관리'!$E20,H$8&lt;='작업 관리'!$F20),IF('작업 관리'!$I20="마일스톤",3,IF('작업 관리'!$G20="완료",2,1)),"")</f>
        <v/>
      </c>
      <c r="I20" s="56" t="str">
        <f>IF(AND(I$8&gt;='작업 관리'!$E20,I$8&lt;='작업 관리'!$F20),IF('작업 관리'!$I20="마일스톤",3,IF('작업 관리'!$G20="완료",2,1)),"")</f>
        <v/>
      </c>
      <c r="J20" s="56" t="str">
        <f>IF(AND(J$8&gt;='작업 관리'!$E20,J$8&lt;='작업 관리'!$F20),IF('작업 관리'!$I20="마일스톤",3,IF('작업 관리'!$G20="완료",2,1)),"")</f>
        <v/>
      </c>
      <c r="K20" s="56" t="str">
        <f>IF(AND(K$8&gt;='작업 관리'!$E20,K$8&lt;='작업 관리'!$F20),IF('작업 관리'!$I20="마일스톤",3,IF('작업 관리'!$G20="완료",2,1)),"")</f>
        <v/>
      </c>
      <c r="L20" s="56" t="str">
        <f>IF(AND(L$8&gt;='작업 관리'!$E20,L$8&lt;='작업 관리'!$F20),IF('작업 관리'!$I20="마일스톤",3,IF('작업 관리'!$G20="완료",2,1)),"")</f>
        <v/>
      </c>
      <c r="M20" s="56" t="str">
        <f>IF(AND(M$8&gt;='작업 관리'!$E20,M$8&lt;='작업 관리'!$F20),IF('작업 관리'!$I20="마일스톤",3,IF('작업 관리'!$G20="완료",2,1)),"")</f>
        <v/>
      </c>
      <c r="N20" s="55" t="str">
        <f>IF(AND(N$8&gt;='작업 관리'!$E20,N$8&lt;='작업 관리'!$F20),IF('작업 관리'!$I20="마일스톤",3,IF('작업 관리'!$G20="완료",2,1)),"")</f>
        <v/>
      </c>
      <c r="O20" s="55" t="str">
        <f>IF(AND(O$8&gt;='작업 관리'!$E20,O$8&lt;='작업 관리'!$F20),IF('작업 관리'!$I20="마일스톤",3,IF('작업 관리'!$G20="완료",2,1)),"")</f>
        <v/>
      </c>
      <c r="P20" s="56" t="str">
        <f>IF(AND(P$8&gt;='작업 관리'!$E20,P$8&lt;='작업 관리'!$F20),IF('작업 관리'!$I20="마일스톤",3,IF('작업 관리'!$G20="완료",2,1)),"")</f>
        <v/>
      </c>
      <c r="Q20" s="56" t="str">
        <f>IF(AND(Q$8&gt;='작업 관리'!$E20,Q$8&lt;='작업 관리'!$F20),IF('작업 관리'!$I20="마일스톤",3,IF('작업 관리'!$G20="완료",2,1)),"")</f>
        <v/>
      </c>
      <c r="R20" s="56" t="str">
        <f>IF(AND(R$8&gt;='작업 관리'!$E20,R$8&lt;='작업 관리'!$F20),IF('작업 관리'!$I20="마일스톤",3,IF('작업 관리'!$G20="완료",2,1)),"")</f>
        <v/>
      </c>
      <c r="S20" s="56" t="str">
        <f>IF(AND(S$8&gt;='작업 관리'!$E20,S$8&lt;='작업 관리'!$F20),IF('작업 관리'!$I20="마일스톤",3,IF('작업 관리'!$G20="완료",2,1)),"")</f>
        <v/>
      </c>
    </row>
    <row r="21" spans="1:19" ht="48" customHeight="1">
      <c r="A21" s="38" t="str">
        <f>'작업 관리'!A21</f>
        <v>2.1</v>
      </c>
      <c r="B21" s="17" t="str">
        <f>'작업 관리'!C21</f>
        <v>재무·공시 수집과 출처 저장</v>
      </c>
      <c r="C21" s="4" t="str">
        <f>'작업 관리'!D21</f>
        <v>김동혁</v>
      </c>
      <c r="D21" s="54" t="str">
        <f>IF(AND(D$8&gt;='작업 관리'!$E21,D$8&lt;='작업 관리'!$F21),IF('작업 관리'!$I21="마일스톤",3,IF('작업 관리'!$G21="완료",2,1)),"")</f>
        <v/>
      </c>
      <c r="E21" s="54" t="str">
        <f>IF(AND(E$8&gt;='작업 관리'!$E21,E$8&lt;='작업 관리'!$F21),IF('작업 관리'!$I21="마일스톤",3,IF('작업 관리'!$G21="완료",2,1)),"")</f>
        <v/>
      </c>
      <c r="F21" s="54" t="str">
        <f>IF(AND(F$8&gt;='작업 관리'!$E21,F$8&lt;='작업 관리'!$F21),IF('작업 관리'!$I21="마일스톤",3,IF('작업 관리'!$G21="완료",2,1)),"")</f>
        <v/>
      </c>
      <c r="G21" s="55">
        <f>IF(AND(G$8&gt;='작업 관리'!$E21,G$8&lt;='작업 관리'!$F21),IF('작업 관리'!$I21="마일스톤",3,IF('작업 관리'!$G21="완료",2,1)),"")</f>
        <v>1</v>
      </c>
      <c r="H21" s="55">
        <f>IF(AND(H$8&gt;='작업 관리'!$E21,H$8&lt;='작업 관리'!$F21),IF('작업 관리'!$I21="마일스톤",3,IF('작업 관리'!$G21="완료",2,1)),"")</f>
        <v>1</v>
      </c>
      <c r="I21" s="54" t="str">
        <f>IF(AND(I$8&gt;='작업 관리'!$E21,I$8&lt;='작업 관리'!$F21),IF('작업 관리'!$I21="마일스톤",3,IF('작업 관리'!$G21="완료",2,1)),"")</f>
        <v/>
      </c>
      <c r="J21" s="54" t="str">
        <f>IF(AND(J$8&gt;='작업 관리'!$E21,J$8&lt;='작업 관리'!$F21),IF('작업 관리'!$I21="마일스톤",3,IF('작업 관리'!$G21="완료",2,1)),"")</f>
        <v/>
      </c>
      <c r="K21" s="54" t="str">
        <f>IF(AND(K$8&gt;='작업 관리'!$E21,K$8&lt;='작업 관리'!$F21),IF('작업 관리'!$I21="마일스톤",3,IF('작업 관리'!$G21="완료",2,1)),"")</f>
        <v/>
      </c>
      <c r="L21" s="54" t="str">
        <f>IF(AND(L$8&gt;='작업 관리'!$E21,L$8&lt;='작업 관리'!$F21),IF('작업 관리'!$I21="마일스톤",3,IF('작업 관리'!$G21="완료",2,1)),"")</f>
        <v/>
      </c>
      <c r="M21" s="54" t="str">
        <f>IF(AND(M$8&gt;='작업 관리'!$E21,M$8&lt;='작업 관리'!$F21),IF('작업 관리'!$I21="마일스톤",3,IF('작업 관리'!$G21="완료",2,1)),"")</f>
        <v/>
      </c>
      <c r="N21" s="55" t="str">
        <f>IF(AND(N$8&gt;='작업 관리'!$E21,N$8&lt;='작업 관리'!$F21),IF('작업 관리'!$I21="마일스톤",3,IF('작업 관리'!$G21="완료",2,1)),"")</f>
        <v/>
      </c>
      <c r="O21" s="55" t="str">
        <f>IF(AND(O$8&gt;='작업 관리'!$E21,O$8&lt;='작업 관리'!$F21),IF('작업 관리'!$I21="마일스톤",3,IF('작업 관리'!$G21="완료",2,1)),"")</f>
        <v/>
      </c>
      <c r="P21" s="54" t="str">
        <f>IF(AND(P$8&gt;='작업 관리'!$E21,P$8&lt;='작업 관리'!$F21),IF('작업 관리'!$I21="마일스톤",3,IF('작업 관리'!$G21="완료",2,1)),"")</f>
        <v/>
      </c>
      <c r="Q21" s="54" t="str">
        <f>IF(AND(Q$8&gt;='작업 관리'!$E21,Q$8&lt;='작업 관리'!$F21),IF('작업 관리'!$I21="마일스톤",3,IF('작업 관리'!$G21="완료",2,1)),"")</f>
        <v/>
      </c>
      <c r="R21" s="54" t="str">
        <f>IF(AND(R$8&gt;='작업 관리'!$E21,R$8&lt;='작업 관리'!$F21),IF('작업 관리'!$I21="마일스톤",3,IF('작업 관리'!$G21="완료",2,1)),"")</f>
        <v/>
      </c>
      <c r="S21" s="54" t="str">
        <f>IF(AND(S$8&gt;='작업 관리'!$E21,S$8&lt;='작업 관리'!$F21),IF('작업 관리'!$I21="마일스톤",3,IF('작업 관리'!$G21="완료",2,1)),"")</f>
        <v/>
      </c>
    </row>
    <row r="22" spans="1:19" ht="48" customHeight="1">
      <c r="A22" s="33" t="str">
        <f>'작업 관리'!A22</f>
        <v>2.2</v>
      </c>
      <c r="B22" s="20" t="str">
        <f>'작업 관리'!C22</f>
        <v>계정 매핑과 비교 기준 정렬</v>
      </c>
      <c r="C22" s="23" t="str">
        <f>'작업 관리'!D22</f>
        <v>김동민</v>
      </c>
      <c r="D22" s="56" t="str">
        <f>IF(AND(D$8&gt;='작업 관리'!$E22,D$8&lt;='작업 관리'!$F22),IF('작업 관리'!$I22="마일스톤",3,IF('작업 관리'!$G22="완료",2,1)),"")</f>
        <v/>
      </c>
      <c r="E22" s="56" t="str">
        <f>IF(AND(E$8&gt;='작업 관리'!$E22,E$8&lt;='작업 관리'!$F22),IF('작업 관리'!$I22="마일스톤",3,IF('작업 관리'!$G22="완료",2,1)),"")</f>
        <v/>
      </c>
      <c r="F22" s="56" t="str">
        <f>IF(AND(F$8&gt;='작업 관리'!$E22,F$8&lt;='작업 관리'!$F22),IF('작업 관리'!$I22="마일스톤",3,IF('작업 관리'!$G22="완료",2,1)),"")</f>
        <v/>
      </c>
      <c r="G22" s="55">
        <f>IF(AND(G$8&gt;='작업 관리'!$E22,G$8&lt;='작업 관리'!$F22),IF('작업 관리'!$I22="마일스톤",3,IF('작업 관리'!$G22="완료",2,1)),"")</f>
        <v>1</v>
      </c>
      <c r="H22" s="55">
        <f>IF(AND(H$8&gt;='작업 관리'!$E22,H$8&lt;='작업 관리'!$F22),IF('작업 관리'!$I22="마일스톤",3,IF('작업 관리'!$G22="완료",2,1)),"")</f>
        <v>1</v>
      </c>
      <c r="I22" s="56" t="str">
        <f>IF(AND(I$8&gt;='작업 관리'!$E22,I$8&lt;='작업 관리'!$F22),IF('작업 관리'!$I22="마일스톤",3,IF('작업 관리'!$G22="완료",2,1)),"")</f>
        <v/>
      </c>
      <c r="J22" s="56" t="str">
        <f>IF(AND(J$8&gt;='작업 관리'!$E22,J$8&lt;='작업 관리'!$F22),IF('작업 관리'!$I22="마일스톤",3,IF('작업 관리'!$G22="완료",2,1)),"")</f>
        <v/>
      </c>
      <c r="K22" s="56" t="str">
        <f>IF(AND(K$8&gt;='작업 관리'!$E22,K$8&lt;='작업 관리'!$F22),IF('작업 관리'!$I22="마일스톤",3,IF('작업 관리'!$G22="완료",2,1)),"")</f>
        <v/>
      </c>
      <c r="L22" s="56" t="str">
        <f>IF(AND(L$8&gt;='작업 관리'!$E22,L$8&lt;='작업 관리'!$F22),IF('작업 관리'!$I22="마일스톤",3,IF('작업 관리'!$G22="완료",2,1)),"")</f>
        <v/>
      </c>
      <c r="M22" s="56" t="str">
        <f>IF(AND(M$8&gt;='작업 관리'!$E22,M$8&lt;='작업 관리'!$F22),IF('작업 관리'!$I22="마일스톤",3,IF('작업 관리'!$G22="완료",2,1)),"")</f>
        <v/>
      </c>
      <c r="N22" s="55" t="str">
        <f>IF(AND(N$8&gt;='작업 관리'!$E22,N$8&lt;='작업 관리'!$F22),IF('작업 관리'!$I22="마일스톤",3,IF('작업 관리'!$G22="완료",2,1)),"")</f>
        <v/>
      </c>
      <c r="O22" s="55" t="str">
        <f>IF(AND(O$8&gt;='작업 관리'!$E22,O$8&lt;='작업 관리'!$F22),IF('작업 관리'!$I22="마일스톤",3,IF('작업 관리'!$G22="완료",2,1)),"")</f>
        <v/>
      </c>
      <c r="P22" s="56" t="str">
        <f>IF(AND(P$8&gt;='작업 관리'!$E22,P$8&lt;='작업 관리'!$F22),IF('작업 관리'!$I22="마일스톤",3,IF('작업 관리'!$G22="완료",2,1)),"")</f>
        <v/>
      </c>
      <c r="Q22" s="56" t="str">
        <f>IF(AND(Q$8&gt;='작업 관리'!$E22,Q$8&lt;='작업 관리'!$F22),IF('작업 관리'!$I22="마일스톤",3,IF('작업 관리'!$G22="완료",2,1)),"")</f>
        <v/>
      </c>
      <c r="R22" s="56" t="str">
        <f>IF(AND(R$8&gt;='작업 관리'!$E22,R$8&lt;='작업 관리'!$F22),IF('작업 관리'!$I22="마일스톤",3,IF('작업 관리'!$G22="완료",2,1)),"")</f>
        <v/>
      </c>
      <c r="S22" s="56" t="str">
        <f>IF(AND(S$8&gt;='작업 관리'!$E22,S$8&lt;='작업 관리'!$F22),IF('작업 관리'!$I22="마일스톤",3,IF('작업 관리'!$G22="완료",2,1)),"")</f>
        <v/>
      </c>
    </row>
    <row r="23" spans="1:19" ht="48" customHeight="1">
      <c r="A23" s="38" t="str">
        <f>'작업 관리'!A23</f>
        <v>2.8</v>
      </c>
      <c r="B23" s="17" t="str">
        <f>'작업 관리'!C23</f>
        <v>과거 재무·주석 학습자료 수집</v>
      </c>
      <c r="C23" s="4" t="str">
        <f>'작업 관리'!D23</f>
        <v>김동혁</v>
      </c>
      <c r="D23" s="54" t="str">
        <f>IF(AND(D$8&gt;='작업 관리'!$E23,D$8&lt;='작업 관리'!$F23),IF('작업 관리'!$I23="마일스톤",3,IF('작업 관리'!$G23="완료",2,1)),"")</f>
        <v/>
      </c>
      <c r="E23" s="54" t="str">
        <f>IF(AND(E$8&gt;='작업 관리'!$E23,E$8&lt;='작업 관리'!$F23),IF('작업 관리'!$I23="마일스톤",3,IF('작업 관리'!$G23="완료",2,1)),"")</f>
        <v/>
      </c>
      <c r="F23" s="54" t="str">
        <f>IF(AND(F$8&gt;='작업 관리'!$E23,F$8&lt;='작업 관리'!$F23),IF('작업 관리'!$I23="마일스톤",3,IF('작업 관리'!$G23="완료",2,1)),"")</f>
        <v/>
      </c>
      <c r="G23" s="55">
        <f>IF(AND(G$8&gt;='작업 관리'!$E23,G$8&lt;='작업 관리'!$F23),IF('작업 관리'!$I23="마일스톤",3,IF('작업 관리'!$G23="완료",2,1)),"")</f>
        <v>1</v>
      </c>
      <c r="H23" s="55">
        <f>IF(AND(H$8&gt;='작업 관리'!$E23,H$8&lt;='작업 관리'!$F23),IF('작업 관리'!$I23="마일스톤",3,IF('작업 관리'!$G23="완료",2,1)),"")</f>
        <v>1</v>
      </c>
      <c r="I23" s="54" t="str">
        <f>IF(AND(I$8&gt;='작업 관리'!$E23,I$8&lt;='작업 관리'!$F23),IF('작업 관리'!$I23="마일스톤",3,IF('작업 관리'!$G23="완료",2,1)),"")</f>
        <v/>
      </c>
      <c r="J23" s="54" t="str">
        <f>IF(AND(J$8&gt;='작업 관리'!$E23,J$8&lt;='작업 관리'!$F23),IF('작업 관리'!$I23="마일스톤",3,IF('작업 관리'!$G23="완료",2,1)),"")</f>
        <v/>
      </c>
      <c r="K23" s="54" t="str">
        <f>IF(AND(K$8&gt;='작업 관리'!$E23,K$8&lt;='작업 관리'!$F23),IF('작업 관리'!$I23="마일스톤",3,IF('작업 관리'!$G23="완료",2,1)),"")</f>
        <v/>
      </c>
      <c r="L23" s="54" t="str">
        <f>IF(AND(L$8&gt;='작업 관리'!$E23,L$8&lt;='작업 관리'!$F23),IF('작업 관리'!$I23="마일스톤",3,IF('작업 관리'!$G23="완료",2,1)),"")</f>
        <v/>
      </c>
      <c r="M23" s="54" t="str">
        <f>IF(AND(M$8&gt;='작업 관리'!$E23,M$8&lt;='작업 관리'!$F23),IF('작업 관리'!$I23="마일스톤",3,IF('작업 관리'!$G23="완료",2,1)),"")</f>
        <v/>
      </c>
      <c r="N23" s="55" t="str">
        <f>IF(AND(N$8&gt;='작업 관리'!$E23,N$8&lt;='작업 관리'!$F23),IF('작업 관리'!$I23="마일스톤",3,IF('작업 관리'!$G23="완료",2,1)),"")</f>
        <v/>
      </c>
      <c r="O23" s="55" t="str">
        <f>IF(AND(O$8&gt;='작업 관리'!$E23,O$8&lt;='작업 관리'!$F23),IF('작업 관리'!$I23="마일스톤",3,IF('작업 관리'!$G23="완료",2,1)),"")</f>
        <v/>
      </c>
      <c r="P23" s="54" t="str">
        <f>IF(AND(P$8&gt;='작업 관리'!$E23,P$8&lt;='작업 관리'!$F23),IF('작업 관리'!$I23="마일스톤",3,IF('작업 관리'!$G23="완료",2,1)),"")</f>
        <v/>
      </c>
      <c r="Q23" s="54" t="str">
        <f>IF(AND(Q$8&gt;='작업 관리'!$E23,Q$8&lt;='작업 관리'!$F23),IF('작업 관리'!$I23="마일스톤",3,IF('작업 관리'!$G23="완료",2,1)),"")</f>
        <v/>
      </c>
      <c r="R23" s="54" t="str">
        <f>IF(AND(R$8&gt;='작업 관리'!$E23,R$8&lt;='작업 관리'!$F23),IF('작업 관리'!$I23="마일스톤",3,IF('작업 관리'!$G23="완료",2,1)),"")</f>
        <v/>
      </c>
      <c r="S23" s="54" t="str">
        <f>IF(AND(S$8&gt;='작업 관리'!$E23,S$8&lt;='작업 관리'!$F23),IF('작업 관리'!$I23="마일스톤",3,IF('작업 관리'!$G23="완료",2,1)),"")</f>
        <v/>
      </c>
    </row>
    <row r="24" spans="1:19" ht="48" customHeight="1">
      <c r="A24" s="33" t="str">
        <f>'작업 관리'!A24</f>
        <v>2.5</v>
      </c>
      <c r="B24" s="20" t="str">
        <f>'작업 관리'!C24</f>
        <v>원문 대조 정답지 작성</v>
      </c>
      <c r="C24" s="23" t="str">
        <f>'작업 관리'!D24</f>
        <v>최수인</v>
      </c>
      <c r="D24" s="56" t="str">
        <f>IF(AND(D$8&gt;='작업 관리'!$E24,D$8&lt;='작업 관리'!$F24),IF('작업 관리'!$I24="마일스톤",3,IF('작업 관리'!$G24="완료",2,1)),"")</f>
        <v/>
      </c>
      <c r="E24" s="56" t="str">
        <f>IF(AND(E$8&gt;='작업 관리'!$E24,E$8&lt;='작업 관리'!$F24),IF('작업 관리'!$I24="마일스톤",3,IF('작업 관리'!$G24="완료",2,1)),"")</f>
        <v/>
      </c>
      <c r="F24" s="56" t="str">
        <f>IF(AND(F$8&gt;='작업 관리'!$E24,F$8&lt;='작업 관리'!$F24),IF('작업 관리'!$I24="마일스톤",3,IF('작업 관리'!$G24="완료",2,1)),"")</f>
        <v/>
      </c>
      <c r="G24" s="55">
        <f>IF(AND(G$8&gt;='작업 관리'!$E24,G$8&lt;='작업 관리'!$F24),IF('작업 관리'!$I24="마일스톤",3,IF('작업 관리'!$G24="완료",2,1)),"")</f>
        <v>1</v>
      </c>
      <c r="H24" s="55">
        <f>IF(AND(H$8&gt;='작업 관리'!$E24,H$8&lt;='작업 관리'!$F24),IF('작업 관리'!$I24="마일스톤",3,IF('작업 관리'!$G24="완료",2,1)),"")</f>
        <v>1</v>
      </c>
      <c r="I24" s="56">
        <f>IF(AND(I$8&gt;='작업 관리'!$E24,I$8&lt;='작업 관리'!$F24),IF('작업 관리'!$I24="마일스톤",3,IF('작업 관리'!$G24="완료",2,1)),"")</f>
        <v>1</v>
      </c>
      <c r="J24" s="56" t="str">
        <f>IF(AND(J$8&gt;='작업 관리'!$E24,J$8&lt;='작업 관리'!$F24),IF('작업 관리'!$I24="마일스톤",3,IF('작업 관리'!$G24="완료",2,1)),"")</f>
        <v/>
      </c>
      <c r="K24" s="56" t="str">
        <f>IF(AND(K$8&gt;='작업 관리'!$E24,K$8&lt;='작업 관리'!$F24),IF('작업 관리'!$I24="마일스톤",3,IF('작업 관리'!$G24="완료",2,1)),"")</f>
        <v/>
      </c>
      <c r="L24" s="56" t="str">
        <f>IF(AND(L$8&gt;='작업 관리'!$E24,L$8&lt;='작업 관리'!$F24),IF('작업 관리'!$I24="마일스톤",3,IF('작업 관리'!$G24="완료",2,1)),"")</f>
        <v/>
      </c>
      <c r="M24" s="56" t="str">
        <f>IF(AND(M$8&gt;='작업 관리'!$E24,M$8&lt;='작업 관리'!$F24),IF('작업 관리'!$I24="마일스톤",3,IF('작업 관리'!$G24="완료",2,1)),"")</f>
        <v/>
      </c>
      <c r="N24" s="55" t="str">
        <f>IF(AND(N$8&gt;='작업 관리'!$E24,N$8&lt;='작업 관리'!$F24),IF('작업 관리'!$I24="마일스톤",3,IF('작업 관리'!$G24="완료",2,1)),"")</f>
        <v/>
      </c>
      <c r="O24" s="55" t="str">
        <f>IF(AND(O$8&gt;='작업 관리'!$E24,O$8&lt;='작업 관리'!$F24),IF('작업 관리'!$I24="마일스톤",3,IF('작업 관리'!$G24="완료",2,1)),"")</f>
        <v/>
      </c>
      <c r="P24" s="56" t="str">
        <f>IF(AND(P$8&gt;='작업 관리'!$E24,P$8&lt;='작업 관리'!$F24),IF('작업 관리'!$I24="마일스톤",3,IF('작업 관리'!$G24="완료",2,1)),"")</f>
        <v/>
      </c>
      <c r="Q24" s="56" t="str">
        <f>IF(AND(Q$8&gt;='작업 관리'!$E24,Q$8&lt;='작업 관리'!$F24),IF('작업 관리'!$I24="마일스톤",3,IF('작업 관리'!$G24="완료",2,1)),"")</f>
        <v/>
      </c>
      <c r="R24" s="56" t="str">
        <f>IF(AND(R$8&gt;='작업 관리'!$E24,R$8&lt;='작업 관리'!$F24),IF('작업 관리'!$I24="마일스톤",3,IF('작업 관리'!$G24="완료",2,1)),"")</f>
        <v/>
      </c>
      <c r="S24" s="56" t="str">
        <f>IF(AND(S$8&gt;='작업 관리'!$E24,S$8&lt;='작업 관리'!$F24),IF('작업 관리'!$I24="마일스톤",3,IF('작업 관리'!$G24="완료",2,1)),"")</f>
        <v/>
      </c>
    </row>
    <row r="25" spans="1:19" ht="48" customHeight="1">
      <c r="A25" s="38" t="str">
        <f>'작업 관리'!A25</f>
        <v>2.3</v>
      </c>
      <c r="B25" s="17" t="str">
        <f>'작업 관리'!C25</f>
        <v>주석 구간·교차참조·추출 표본 확보</v>
      </c>
      <c r="C25" s="4" t="str">
        <f>'작업 관리'!D25</f>
        <v>김동혁</v>
      </c>
      <c r="D25" s="54" t="str">
        <f>IF(AND(D$8&gt;='작업 관리'!$E25,D$8&lt;='작업 관리'!$F25),IF('작업 관리'!$I25="마일스톤",3,IF('작업 관리'!$G25="완료",2,1)),"")</f>
        <v/>
      </c>
      <c r="E25" s="54" t="str">
        <f>IF(AND(E$8&gt;='작업 관리'!$E25,E$8&lt;='작업 관리'!$F25),IF('작업 관리'!$I25="마일스톤",3,IF('작업 관리'!$G25="완료",2,1)),"")</f>
        <v/>
      </c>
      <c r="F25" s="54" t="str">
        <f>IF(AND(F$8&gt;='작업 관리'!$E25,F$8&lt;='작업 관리'!$F25),IF('작업 관리'!$I25="마일스톤",3,IF('작업 관리'!$G25="완료",2,1)),"")</f>
        <v/>
      </c>
      <c r="G25" s="55" t="str">
        <f>IF(AND(G$8&gt;='작업 관리'!$E25,G$8&lt;='작업 관리'!$F25),IF('작업 관리'!$I25="마일스톤",3,IF('작업 관리'!$G25="완료",2,1)),"")</f>
        <v/>
      </c>
      <c r="H25" s="55">
        <f>IF(AND(H$8&gt;='작업 관리'!$E25,H$8&lt;='작업 관리'!$F25),IF('작업 관리'!$I25="마일스톤",3,IF('작업 관리'!$G25="완료",2,1)),"")</f>
        <v>1</v>
      </c>
      <c r="I25" s="54" t="str">
        <f>IF(AND(I$8&gt;='작업 관리'!$E25,I$8&lt;='작업 관리'!$F25),IF('작업 관리'!$I25="마일스톤",3,IF('작업 관리'!$G25="완료",2,1)),"")</f>
        <v/>
      </c>
      <c r="J25" s="54" t="str">
        <f>IF(AND(J$8&gt;='작업 관리'!$E25,J$8&lt;='작업 관리'!$F25),IF('작업 관리'!$I25="마일스톤",3,IF('작업 관리'!$G25="완료",2,1)),"")</f>
        <v/>
      </c>
      <c r="K25" s="54" t="str">
        <f>IF(AND(K$8&gt;='작업 관리'!$E25,K$8&lt;='작업 관리'!$F25),IF('작업 관리'!$I25="마일스톤",3,IF('작업 관리'!$G25="완료",2,1)),"")</f>
        <v/>
      </c>
      <c r="L25" s="54" t="str">
        <f>IF(AND(L$8&gt;='작업 관리'!$E25,L$8&lt;='작업 관리'!$F25),IF('작업 관리'!$I25="마일스톤",3,IF('작업 관리'!$G25="완료",2,1)),"")</f>
        <v/>
      </c>
      <c r="M25" s="54" t="str">
        <f>IF(AND(M$8&gt;='작업 관리'!$E25,M$8&lt;='작업 관리'!$F25),IF('작업 관리'!$I25="마일스톤",3,IF('작업 관리'!$G25="완료",2,1)),"")</f>
        <v/>
      </c>
      <c r="N25" s="55" t="str">
        <f>IF(AND(N$8&gt;='작업 관리'!$E25,N$8&lt;='작업 관리'!$F25),IF('작업 관리'!$I25="마일스톤",3,IF('작업 관리'!$G25="완료",2,1)),"")</f>
        <v/>
      </c>
      <c r="O25" s="55" t="str">
        <f>IF(AND(O$8&gt;='작업 관리'!$E25,O$8&lt;='작업 관리'!$F25),IF('작업 관리'!$I25="마일스톤",3,IF('작업 관리'!$G25="완료",2,1)),"")</f>
        <v/>
      </c>
      <c r="P25" s="54" t="str">
        <f>IF(AND(P$8&gt;='작업 관리'!$E25,P$8&lt;='작업 관리'!$F25),IF('작업 관리'!$I25="마일스톤",3,IF('작업 관리'!$G25="완료",2,1)),"")</f>
        <v/>
      </c>
      <c r="Q25" s="54" t="str">
        <f>IF(AND(Q$8&gt;='작업 관리'!$E25,Q$8&lt;='작업 관리'!$F25),IF('작업 관리'!$I25="마일스톤",3,IF('작업 관리'!$G25="완료",2,1)),"")</f>
        <v/>
      </c>
      <c r="R25" s="54" t="str">
        <f>IF(AND(R$8&gt;='작업 관리'!$E25,R$8&lt;='작업 관리'!$F25),IF('작업 관리'!$I25="마일스톤",3,IF('작업 관리'!$G25="완료",2,1)),"")</f>
        <v/>
      </c>
      <c r="S25" s="54" t="str">
        <f>IF(AND(S$8&gt;='작업 관리'!$E25,S$8&lt;='작업 관리'!$F25),IF('작업 관리'!$I25="마일스톤",3,IF('작업 관리'!$G25="완료",2,1)),"")</f>
        <v/>
      </c>
    </row>
    <row r="26" spans="1:19" ht="48" customHeight="1">
      <c r="A26" s="33" t="str">
        <f>'작업 관리'!A26</f>
        <v>2.9</v>
      </c>
      <c r="B26" s="20" t="str">
        <f>'작업 관리'!C26</f>
        <v>12개월 라벨과 관측기간 구성</v>
      </c>
      <c r="C26" s="23" t="str">
        <f>'작업 관리'!D26</f>
        <v>김동민</v>
      </c>
      <c r="D26" s="56" t="str">
        <f>IF(AND(D$8&gt;='작업 관리'!$E26,D$8&lt;='작업 관리'!$F26),IF('작업 관리'!$I26="마일스톤",3,IF('작업 관리'!$G26="완료",2,1)),"")</f>
        <v/>
      </c>
      <c r="E26" s="56" t="str">
        <f>IF(AND(E$8&gt;='작업 관리'!$E26,E$8&lt;='작업 관리'!$F26),IF('작업 관리'!$I26="마일스톤",3,IF('작업 관리'!$G26="완료",2,1)),"")</f>
        <v/>
      </c>
      <c r="F26" s="56" t="str">
        <f>IF(AND(F$8&gt;='작업 관리'!$E26,F$8&lt;='작업 관리'!$F26),IF('작업 관리'!$I26="마일스톤",3,IF('작업 관리'!$G26="완료",2,1)),"")</f>
        <v/>
      </c>
      <c r="G26" s="55" t="str">
        <f>IF(AND(G$8&gt;='작업 관리'!$E26,G$8&lt;='작업 관리'!$F26),IF('작업 관리'!$I26="마일스톤",3,IF('작업 관리'!$G26="완료",2,1)),"")</f>
        <v/>
      </c>
      <c r="H26" s="55">
        <f>IF(AND(H$8&gt;='작업 관리'!$E26,H$8&lt;='작업 관리'!$F26),IF('작업 관리'!$I26="마일스톤",3,IF('작업 관리'!$G26="완료",2,1)),"")</f>
        <v>1</v>
      </c>
      <c r="I26" s="56">
        <f>IF(AND(I$8&gt;='작업 관리'!$E26,I$8&lt;='작업 관리'!$F26),IF('작업 관리'!$I26="마일스톤",3,IF('작업 관리'!$G26="완료",2,1)),"")</f>
        <v>1</v>
      </c>
      <c r="J26" s="56" t="str">
        <f>IF(AND(J$8&gt;='작업 관리'!$E26,J$8&lt;='작업 관리'!$F26),IF('작업 관리'!$I26="마일스톤",3,IF('작업 관리'!$G26="완료",2,1)),"")</f>
        <v/>
      </c>
      <c r="K26" s="56" t="str">
        <f>IF(AND(K$8&gt;='작업 관리'!$E26,K$8&lt;='작업 관리'!$F26),IF('작업 관리'!$I26="마일스톤",3,IF('작업 관리'!$G26="완료",2,1)),"")</f>
        <v/>
      </c>
      <c r="L26" s="56" t="str">
        <f>IF(AND(L$8&gt;='작업 관리'!$E26,L$8&lt;='작업 관리'!$F26),IF('작업 관리'!$I26="마일스톤",3,IF('작업 관리'!$G26="완료",2,1)),"")</f>
        <v/>
      </c>
      <c r="M26" s="56" t="str">
        <f>IF(AND(M$8&gt;='작업 관리'!$E26,M$8&lt;='작업 관리'!$F26),IF('작업 관리'!$I26="마일스톤",3,IF('작업 관리'!$G26="완료",2,1)),"")</f>
        <v/>
      </c>
      <c r="N26" s="55" t="str">
        <f>IF(AND(N$8&gt;='작업 관리'!$E26,N$8&lt;='작업 관리'!$F26),IF('작업 관리'!$I26="마일스톤",3,IF('작업 관리'!$G26="완료",2,1)),"")</f>
        <v/>
      </c>
      <c r="O26" s="55" t="str">
        <f>IF(AND(O$8&gt;='작업 관리'!$E26,O$8&lt;='작업 관리'!$F26),IF('작업 관리'!$I26="마일스톤",3,IF('작업 관리'!$G26="완료",2,1)),"")</f>
        <v/>
      </c>
      <c r="P26" s="56" t="str">
        <f>IF(AND(P$8&gt;='작업 관리'!$E26,P$8&lt;='작업 관리'!$F26),IF('작업 관리'!$I26="마일스톤",3,IF('작업 관리'!$G26="완료",2,1)),"")</f>
        <v/>
      </c>
      <c r="Q26" s="56" t="str">
        <f>IF(AND(Q$8&gt;='작업 관리'!$E26,Q$8&lt;='작업 관리'!$F26),IF('작업 관리'!$I26="마일스톤",3,IF('작업 관리'!$G26="완료",2,1)),"")</f>
        <v/>
      </c>
      <c r="R26" s="56" t="str">
        <f>IF(AND(R$8&gt;='작업 관리'!$E26,R$8&lt;='작업 관리'!$F26),IF('작업 관리'!$I26="마일스톤",3,IF('작업 관리'!$G26="완료",2,1)),"")</f>
        <v/>
      </c>
      <c r="S26" s="56" t="str">
        <f>IF(AND(S$8&gt;='작업 관리'!$E26,S$8&lt;='작업 관리'!$F26),IF('작업 관리'!$I26="마일스톤",3,IF('작업 관리'!$G26="완료",2,1)),"")</f>
        <v/>
      </c>
    </row>
    <row r="27" spans="1:19" ht="48" customHeight="1">
      <c r="A27" s="38" t="str">
        <f>'작업 관리'!A27</f>
        <v>2.10</v>
      </c>
      <c r="B27" s="17" t="str">
        <f>'작업 관리'!C27</f>
        <v>업종별 필수 계정 확보율 점검</v>
      </c>
      <c r="C27" s="4" t="str">
        <f>'작업 관리'!D27</f>
        <v>김동민</v>
      </c>
      <c r="D27" s="54" t="str">
        <f>IF(AND(D$8&gt;='작업 관리'!$E27,D$8&lt;='작업 관리'!$F27),IF('작업 관리'!$I27="마일스톤",3,IF('작업 관리'!$G27="완료",2,1)),"")</f>
        <v/>
      </c>
      <c r="E27" s="54" t="str">
        <f>IF(AND(E$8&gt;='작업 관리'!$E27,E$8&lt;='작업 관리'!$F27),IF('작업 관리'!$I27="마일스톤",3,IF('작업 관리'!$G27="완료",2,1)),"")</f>
        <v/>
      </c>
      <c r="F27" s="54" t="str">
        <f>IF(AND(F$8&gt;='작업 관리'!$E27,F$8&lt;='작업 관리'!$F27),IF('작업 관리'!$I27="마일스톤",3,IF('작업 관리'!$G27="완료",2,1)),"")</f>
        <v/>
      </c>
      <c r="G27" s="55" t="str">
        <f>IF(AND(G$8&gt;='작업 관리'!$E27,G$8&lt;='작업 관리'!$F27),IF('작업 관리'!$I27="마일스톤",3,IF('작업 관리'!$G27="완료",2,1)),"")</f>
        <v/>
      </c>
      <c r="H27" s="55">
        <f>IF(AND(H$8&gt;='작업 관리'!$E27,H$8&lt;='작업 관리'!$F27),IF('작업 관리'!$I27="마일스톤",3,IF('작업 관리'!$G27="완료",2,1)),"")</f>
        <v>1</v>
      </c>
      <c r="I27" s="54">
        <f>IF(AND(I$8&gt;='작업 관리'!$E27,I$8&lt;='작업 관리'!$F27),IF('작업 관리'!$I27="마일스톤",3,IF('작업 관리'!$G27="완료",2,1)),"")</f>
        <v>1</v>
      </c>
      <c r="J27" s="54" t="str">
        <f>IF(AND(J$8&gt;='작업 관리'!$E27,J$8&lt;='작업 관리'!$F27),IF('작업 관리'!$I27="마일스톤",3,IF('작업 관리'!$G27="완료",2,1)),"")</f>
        <v/>
      </c>
      <c r="K27" s="54" t="str">
        <f>IF(AND(K$8&gt;='작업 관리'!$E27,K$8&lt;='작업 관리'!$F27),IF('작업 관리'!$I27="마일스톤",3,IF('작업 관리'!$G27="완료",2,1)),"")</f>
        <v/>
      </c>
      <c r="L27" s="54" t="str">
        <f>IF(AND(L$8&gt;='작업 관리'!$E27,L$8&lt;='작업 관리'!$F27),IF('작업 관리'!$I27="마일스톤",3,IF('작업 관리'!$G27="완료",2,1)),"")</f>
        <v/>
      </c>
      <c r="M27" s="54" t="str">
        <f>IF(AND(M$8&gt;='작업 관리'!$E27,M$8&lt;='작업 관리'!$F27),IF('작업 관리'!$I27="마일스톤",3,IF('작업 관리'!$G27="완료",2,1)),"")</f>
        <v/>
      </c>
      <c r="N27" s="55" t="str">
        <f>IF(AND(N$8&gt;='작업 관리'!$E27,N$8&lt;='작업 관리'!$F27),IF('작업 관리'!$I27="마일스톤",3,IF('작업 관리'!$G27="완료",2,1)),"")</f>
        <v/>
      </c>
      <c r="O27" s="55" t="str">
        <f>IF(AND(O$8&gt;='작업 관리'!$E27,O$8&lt;='작업 관리'!$F27),IF('작업 관리'!$I27="마일스톤",3,IF('작업 관리'!$G27="완료",2,1)),"")</f>
        <v/>
      </c>
      <c r="P27" s="54" t="str">
        <f>IF(AND(P$8&gt;='작업 관리'!$E27,P$8&lt;='작업 관리'!$F27),IF('작업 관리'!$I27="마일스톤",3,IF('작업 관리'!$G27="완료",2,1)),"")</f>
        <v/>
      </c>
      <c r="Q27" s="54" t="str">
        <f>IF(AND(Q$8&gt;='작업 관리'!$E27,Q$8&lt;='작업 관리'!$F27),IF('작업 관리'!$I27="마일스톤",3,IF('작업 관리'!$G27="완료",2,1)),"")</f>
        <v/>
      </c>
      <c r="R27" s="54" t="str">
        <f>IF(AND(R$8&gt;='작업 관리'!$E27,R$8&lt;='작업 관리'!$F27),IF('작업 관리'!$I27="마일스톤",3,IF('작업 관리'!$G27="완료",2,1)),"")</f>
        <v/>
      </c>
      <c r="S27" s="54" t="str">
        <f>IF(AND(S$8&gt;='작업 관리'!$E27,S$8&lt;='작업 관리'!$F27),IF('작업 관리'!$I27="마일스톤",3,IF('작업 관리'!$G27="완료",2,1)),"")</f>
        <v/>
      </c>
    </row>
    <row r="28" spans="1:19" ht="48" customHeight="1">
      <c r="A28" s="33" t="str">
        <f>'작업 관리'!A28</f>
        <v>2.11</v>
      </c>
      <c r="B28" s="20" t="str">
        <f>'작업 관리'!C28</f>
        <v>주석 원문 구간·추출 검출 상태 저장</v>
      </c>
      <c r="C28" s="23" t="str">
        <f>'작업 관리'!D28</f>
        <v>김동혁</v>
      </c>
      <c r="D28" s="56" t="str">
        <f>IF(AND(D$8&gt;='작업 관리'!$E28,D$8&lt;='작업 관리'!$F28),IF('작업 관리'!$I28="마일스톤",3,IF('작업 관리'!$G28="완료",2,1)),"")</f>
        <v/>
      </c>
      <c r="E28" s="56" t="str">
        <f>IF(AND(E$8&gt;='작업 관리'!$E28,E$8&lt;='작업 관리'!$F28),IF('작업 관리'!$I28="마일스톤",3,IF('작업 관리'!$G28="완료",2,1)),"")</f>
        <v/>
      </c>
      <c r="F28" s="56" t="str">
        <f>IF(AND(F$8&gt;='작업 관리'!$E28,F$8&lt;='작업 관리'!$F28),IF('작업 관리'!$I28="마일스톤",3,IF('작업 관리'!$G28="완료",2,1)),"")</f>
        <v/>
      </c>
      <c r="G28" s="55" t="str">
        <f>IF(AND(G$8&gt;='작업 관리'!$E28,G$8&lt;='작업 관리'!$F28),IF('작업 관리'!$I28="마일스톤",3,IF('작업 관리'!$G28="완료",2,1)),"")</f>
        <v/>
      </c>
      <c r="H28" s="55">
        <f>IF(AND(H$8&gt;='작업 관리'!$E28,H$8&lt;='작업 관리'!$F28),IF('작업 관리'!$I28="마일스톤",3,IF('작업 관리'!$G28="완료",2,1)),"")</f>
        <v>1</v>
      </c>
      <c r="I28" s="56">
        <f>IF(AND(I$8&gt;='작업 관리'!$E28,I$8&lt;='작업 관리'!$F28),IF('작업 관리'!$I28="마일스톤",3,IF('작업 관리'!$G28="완료",2,1)),"")</f>
        <v>1</v>
      </c>
      <c r="J28" s="56" t="str">
        <f>IF(AND(J$8&gt;='작업 관리'!$E28,J$8&lt;='작업 관리'!$F28),IF('작업 관리'!$I28="마일스톤",3,IF('작업 관리'!$G28="완료",2,1)),"")</f>
        <v/>
      </c>
      <c r="K28" s="56" t="str">
        <f>IF(AND(K$8&gt;='작업 관리'!$E28,K$8&lt;='작업 관리'!$F28),IF('작업 관리'!$I28="마일스톤",3,IF('작업 관리'!$G28="완료",2,1)),"")</f>
        <v/>
      </c>
      <c r="L28" s="56" t="str">
        <f>IF(AND(L$8&gt;='작업 관리'!$E28,L$8&lt;='작업 관리'!$F28),IF('작업 관리'!$I28="마일스톤",3,IF('작업 관리'!$G28="완료",2,1)),"")</f>
        <v/>
      </c>
      <c r="M28" s="56" t="str">
        <f>IF(AND(M$8&gt;='작업 관리'!$E28,M$8&lt;='작업 관리'!$F28),IF('작업 관리'!$I28="마일스톤",3,IF('작업 관리'!$G28="완료",2,1)),"")</f>
        <v/>
      </c>
      <c r="N28" s="55" t="str">
        <f>IF(AND(N$8&gt;='작업 관리'!$E28,N$8&lt;='작업 관리'!$F28),IF('작업 관리'!$I28="마일스톤",3,IF('작업 관리'!$G28="완료",2,1)),"")</f>
        <v/>
      </c>
      <c r="O28" s="55" t="str">
        <f>IF(AND(O$8&gt;='작업 관리'!$E28,O$8&lt;='작업 관리'!$F28),IF('작업 관리'!$I28="마일스톤",3,IF('작업 관리'!$G28="완료",2,1)),"")</f>
        <v/>
      </c>
      <c r="P28" s="56" t="str">
        <f>IF(AND(P$8&gt;='작업 관리'!$E28,P$8&lt;='작업 관리'!$F28),IF('작업 관리'!$I28="마일스톤",3,IF('작업 관리'!$G28="완료",2,1)),"")</f>
        <v/>
      </c>
      <c r="Q28" s="56" t="str">
        <f>IF(AND(Q$8&gt;='작업 관리'!$E28,Q$8&lt;='작업 관리'!$F28),IF('작업 관리'!$I28="마일스톤",3,IF('작업 관리'!$G28="완료",2,1)),"")</f>
        <v/>
      </c>
      <c r="R28" s="56" t="str">
        <f>IF(AND(R$8&gt;='작업 관리'!$E28,R$8&lt;='작업 관리'!$F28),IF('작업 관리'!$I28="마일스톤",3,IF('작업 관리'!$G28="완료",2,1)),"")</f>
        <v/>
      </c>
      <c r="S28" s="56" t="str">
        <f>IF(AND(S$8&gt;='작업 관리'!$E28,S$8&lt;='작업 관리'!$F28),IF('작업 관리'!$I28="마일스톤",3,IF('작업 관리'!$G28="완료",2,1)),"")</f>
        <v/>
      </c>
    </row>
    <row r="29" spans="1:19" ht="48" customHeight="1">
      <c r="A29" s="38" t="str">
        <f>'작업 관리'!A29</f>
        <v>2.4</v>
      </c>
      <c r="B29" s="17" t="str">
        <f>'작업 관리'!C29</f>
        <v>데이터 정합성과 결측 점검</v>
      </c>
      <c r="C29" s="4" t="str">
        <f>'작업 관리'!D29</f>
        <v>김동민</v>
      </c>
      <c r="D29" s="54" t="str">
        <f>IF(AND(D$8&gt;='작업 관리'!$E29,D$8&lt;='작업 관리'!$F29),IF('작업 관리'!$I29="마일스톤",3,IF('작업 관리'!$G29="완료",2,1)),"")</f>
        <v/>
      </c>
      <c r="E29" s="54" t="str">
        <f>IF(AND(E$8&gt;='작업 관리'!$E29,E$8&lt;='작업 관리'!$F29),IF('작업 관리'!$I29="마일스톤",3,IF('작업 관리'!$G29="완료",2,1)),"")</f>
        <v/>
      </c>
      <c r="F29" s="54" t="str">
        <f>IF(AND(F$8&gt;='작업 관리'!$E29,F$8&lt;='작업 관리'!$F29),IF('작업 관리'!$I29="마일스톤",3,IF('작업 관리'!$G29="완료",2,1)),"")</f>
        <v/>
      </c>
      <c r="G29" s="55" t="str">
        <f>IF(AND(G$8&gt;='작업 관리'!$E29,G$8&lt;='작업 관리'!$F29),IF('작업 관리'!$I29="마일스톤",3,IF('작업 관리'!$G29="완료",2,1)),"")</f>
        <v/>
      </c>
      <c r="H29" s="55" t="str">
        <f>IF(AND(H$8&gt;='작업 관리'!$E29,H$8&lt;='작업 관리'!$F29),IF('작업 관리'!$I29="마일스톤",3,IF('작업 관리'!$G29="완료",2,1)),"")</f>
        <v/>
      </c>
      <c r="I29" s="54">
        <f>IF(AND(I$8&gt;='작업 관리'!$E29,I$8&lt;='작업 관리'!$F29),IF('작업 관리'!$I29="마일스톤",3,IF('작업 관리'!$G29="완료",2,1)),"")</f>
        <v>1</v>
      </c>
      <c r="J29" s="54" t="str">
        <f>IF(AND(J$8&gt;='작업 관리'!$E29,J$8&lt;='작업 관리'!$F29),IF('작업 관리'!$I29="마일스톤",3,IF('작업 관리'!$G29="완료",2,1)),"")</f>
        <v/>
      </c>
      <c r="K29" s="54" t="str">
        <f>IF(AND(K$8&gt;='작업 관리'!$E29,K$8&lt;='작업 관리'!$F29),IF('작업 관리'!$I29="마일스톤",3,IF('작업 관리'!$G29="완료",2,1)),"")</f>
        <v/>
      </c>
      <c r="L29" s="54" t="str">
        <f>IF(AND(L$8&gt;='작업 관리'!$E29,L$8&lt;='작업 관리'!$F29),IF('작업 관리'!$I29="마일스톤",3,IF('작업 관리'!$G29="완료",2,1)),"")</f>
        <v/>
      </c>
      <c r="M29" s="54" t="str">
        <f>IF(AND(M$8&gt;='작업 관리'!$E29,M$8&lt;='작업 관리'!$F29),IF('작업 관리'!$I29="마일스톤",3,IF('작업 관리'!$G29="완료",2,1)),"")</f>
        <v/>
      </c>
      <c r="N29" s="55" t="str">
        <f>IF(AND(N$8&gt;='작업 관리'!$E29,N$8&lt;='작업 관리'!$F29),IF('작업 관리'!$I29="마일스톤",3,IF('작업 관리'!$G29="완료",2,1)),"")</f>
        <v/>
      </c>
      <c r="O29" s="55" t="str">
        <f>IF(AND(O$8&gt;='작업 관리'!$E29,O$8&lt;='작업 관리'!$F29),IF('작업 관리'!$I29="마일스톤",3,IF('작업 관리'!$G29="완료",2,1)),"")</f>
        <v/>
      </c>
      <c r="P29" s="54" t="str">
        <f>IF(AND(P$8&gt;='작업 관리'!$E29,P$8&lt;='작업 관리'!$F29),IF('작업 관리'!$I29="마일스톤",3,IF('작업 관리'!$G29="완료",2,1)),"")</f>
        <v/>
      </c>
      <c r="Q29" s="54" t="str">
        <f>IF(AND(Q$8&gt;='작업 관리'!$E29,Q$8&lt;='작업 관리'!$F29),IF('작업 관리'!$I29="마일스톤",3,IF('작업 관리'!$G29="완료",2,1)),"")</f>
        <v/>
      </c>
      <c r="R29" s="54" t="str">
        <f>IF(AND(R$8&gt;='작업 관리'!$E29,R$8&lt;='작업 관리'!$F29),IF('작업 관리'!$I29="마일스톤",3,IF('작업 관리'!$G29="완료",2,1)),"")</f>
        <v/>
      </c>
      <c r="S29" s="54" t="str">
        <f>IF(AND(S$8&gt;='작업 관리'!$E29,S$8&lt;='작업 관리'!$F29),IF('작업 관리'!$I29="마일스톤",3,IF('작업 관리'!$G29="완료",2,1)),"")</f>
        <v/>
      </c>
    </row>
    <row r="30" spans="1:19" ht="48" customHeight="1">
      <c r="A30" s="33" t="str">
        <f>'작업 관리'!A30</f>
        <v>2.6</v>
      </c>
      <c r="B30" s="20" t="str">
        <f>'작업 관리'!C30</f>
        <v>업종 비교 표본 확보와 정리</v>
      </c>
      <c r="C30" s="23" t="str">
        <f>'작업 관리'!D30</f>
        <v>김동민</v>
      </c>
      <c r="D30" s="56" t="str">
        <f>IF(AND(D$8&gt;='작업 관리'!$E30,D$8&lt;='작업 관리'!$F30),IF('작업 관리'!$I30="마일스톤",3,IF('작업 관리'!$G30="완료",2,1)),"")</f>
        <v/>
      </c>
      <c r="E30" s="56" t="str">
        <f>IF(AND(E$8&gt;='작업 관리'!$E30,E$8&lt;='작업 관리'!$F30),IF('작업 관리'!$I30="마일스톤",3,IF('작업 관리'!$G30="완료",2,1)),"")</f>
        <v/>
      </c>
      <c r="F30" s="56" t="str">
        <f>IF(AND(F$8&gt;='작업 관리'!$E30,F$8&lt;='작업 관리'!$F30),IF('작업 관리'!$I30="마일스톤",3,IF('작업 관리'!$G30="완료",2,1)),"")</f>
        <v/>
      </c>
      <c r="G30" s="55" t="str">
        <f>IF(AND(G$8&gt;='작업 관리'!$E30,G$8&lt;='작업 관리'!$F30),IF('작업 관리'!$I30="마일스톤",3,IF('작업 관리'!$G30="완료",2,1)),"")</f>
        <v/>
      </c>
      <c r="H30" s="55" t="str">
        <f>IF(AND(H$8&gt;='작업 관리'!$E30,H$8&lt;='작업 관리'!$F30),IF('작업 관리'!$I30="마일스톤",3,IF('작업 관리'!$G30="완료",2,1)),"")</f>
        <v/>
      </c>
      <c r="I30" s="56" t="str">
        <f>IF(AND(I$8&gt;='작업 관리'!$E30,I$8&lt;='작업 관리'!$F30),IF('작업 관리'!$I30="마일스톤",3,IF('작업 관리'!$G30="완료",2,1)),"")</f>
        <v/>
      </c>
      <c r="J30" s="56">
        <f>IF(AND(J$8&gt;='작업 관리'!$E30,J$8&lt;='작업 관리'!$F30),IF('작업 관리'!$I30="마일스톤",3,IF('작업 관리'!$G30="완료",2,1)),"")</f>
        <v>1</v>
      </c>
      <c r="K30" s="56">
        <f>IF(AND(K$8&gt;='작업 관리'!$E30,K$8&lt;='작업 관리'!$F30),IF('작업 관리'!$I30="마일스톤",3,IF('작업 관리'!$G30="완료",2,1)),"")</f>
        <v>1</v>
      </c>
      <c r="L30" s="56" t="str">
        <f>IF(AND(L$8&gt;='작업 관리'!$E30,L$8&lt;='작업 관리'!$F30),IF('작업 관리'!$I30="마일스톤",3,IF('작업 관리'!$G30="완료",2,1)),"")</f>
        <v/>
      </c>
      <c r="M30" s="56" t="str">
        <f>IF(AND(M$8&gt;='작업 관리'!$E30,M$8&lt;='작업 관리'!$F30),IF('작업 관리'!$I30="마일스톤",3,IF('작업 관리'!$G30="완료",2,1)),"")</f>
        <v/>
      </c>
      <c r="N30" s="55" t="str">
        <f>IF(AND(N$8&gt;='작업 관리'!$E30,N$8&lt;='작업 관리'!$F30),IF('작업 관리'!$I30="마일스톤",3,IF('작업 관리'!$G30="완료",2,1)),"")</f>
        <v/>
      </c>
      <c r="O30" s="55" t="str">
        <f>IF(AND(O$8&gt;='작업 관리'!$E30,O$8&lt;='작업 관리'!$F30),IF('작업 관리'!$I30="마일스톤",3,IF('작업 관리'!$G30="완료",2,1)),"")</f>
        <v/>
      </c>
      <c r="P30" s="56" t="str">
        <f>IF(AND(P$8&gt;='작업 관리'!$E30,P$8&lt;='작업 관리'!$F30),IF('작업 관리'!$I30="마일스톤",3,IF('작업 관리'!$G30="완료",2,1)),"")</f>
        <v/>
      </c>
      <c r="Q30" s="56" t="str">
        <f>IF(AND(Q$8&gt;='작업 관리'!$E30,Q$8&lt;='작업 관리'!$F30),IF('작업 관리'!$I30="마일스톤",3,IF('작업 관리'!$G30="완료",2,1)),"")</f>
        <v/>
      </c>
      <c r="R30" s="56" t="str">
        <f>IF(AND(R$8&gt;='작업 관리'!$E30,R$8&lt;='작업 관리'!$F30),IF('작업 관리'!$I30="마일스톤",3,IF('작업 관리'!$G30="완료",2,1)),"")</f>
        <v/>
      </c>
      <c r="S30" s="56" t="str">
        <f>IF(AND(S$8&gt;='작업 관리'!$E30,S$8&lt;='작업 관리'!$F30),IF('작업 관리'!$I30="마일스톤",3,IF('작업 관리'!$G30="완료",2,1)),"")</f>
        <v/>
      </c>
    </row>
    <row r="31" spans="1:19" ht="48" customHeight="1">
      <c r="A31" s="38" t="str">
        <f>'작업 관리'!A31</f>
        <v>3.2</v>
      </c>
      <c r="B31" s="17" t="str">
        <f>'작업 관리'!C31</f>
        <v>기업 검색과 업종 표시·필터</v>
      </c>
      <c r="C31" s="4" t="str">
        <f>'작업 관리'!D31</f>
        <v>서종원</v>
      </c>
      <c r="D31" s="54" t="str">
        <f>IF(AND(D$8&gt;='작업 관리'!$E31,D$8&lt;='작업 관리'!$F31),IF('작업 관리'!$I31="마일스톤",3,IF('작업 관리'!$G31="완료",2,1)),"")</f>
        <v/>
      </c>
      <c r="E31" s="54" t="str">
        <f>IF(AND(E$8&gt;='작업 관리'!$E31,E$8&lt;='작업 관리'!$F31),IF('작업 관리'!$I31="마일스톤",3,IF('작업 관리'!$G31="완료",2,1)),"")</f>
        <v/>
      </c>
      <c r="F31" s="54" t="str">
        <f>IF(AND(F$8&gt;='작업 관리'!$E31,F$8&lt;='작업 관리'!$F31),IF('작업 관리'!$I31="마일스톤",3,IF('작업 관리'!$G31="완료",2,1)),"")</f>
        <v/>
      </c>
      <c r="G31" s="55">
        <f>IF(AND(G$8&gt;='작업 관리'!$E31,G$8&lt;='작업 관리'!$F31),IF('작업 관리'!$I31="마일스톤",3,IF('작업 관리'!$G31="완료",2,1)),"")</f>
        <v>1</v>
      </c>
      <c r="H31" s="55" t="str">
        <f>IF(AND(H$8&gt;='작업 관리'!$E31,H$8&lt;='작업 관리'!$F31),IF('작업 관리'!$I31="마일스톤",3,IF('작업 관리'!$G31="완료",2,1)),"")</f>
        <v/>
      </c>
      <c r="I31" s="54" t="str">
        <f>IF(AND(I$8&gt;='작업 관리'!$E31,I$8&lt;='작업 관리'!$F31),IF('작업 관리'!$I31="마일스톤",3,IF('작업 관리'!$G31="완료",2,1)),"")</f>
        <v/>
      </c>
      <c r="J31" s="54" t="str">
        <f>IF(AND(J$8&gt;='작업 관리'!$E31,J$8&lt;='작업 관리'!$F31),IF('작업 관리'!$I31="마일스톤",3,IF('작업 관리'!$G31="완료",2,1)),"")</f>
        <v/>
      </c>
      <c r="K31" s="54" t="str">
        <f>IF(AND(K$8&gt;='작업 관리'!$E31,K$8&lt;='작업 관리'!$F31),IF('작업 관리'!$I31="마일스톤",3,IF('작업 관리'!$G31="완료",2,1)),"")</f>
        <v/>
      </c>
      <c r="L31" s="54" t="str">
        <f>IF(AND(L$8&gt;='작업 관리'!$E31,L$8&lt;='작업 관리'!$F31),IF('작업 관리'!$I31="마일스톤",3,IF('작업 관리'!$G31="완료",2,1)),"")</f>
        <v/>
      </c>
      <c r="M31" s="54" t="str">
        <f>IF(AND(M$8&gt;='작업 관리'!$E31,M$8&lt;='작업 관리'!$F31),IF('작업 관리'!$I31="마일스톤",3,IF('작업 관리'!$G31="완료",2,1)),"")</f>
        <v/>
      </c>
      <c r="N31" s="55" t="str">
        <f>IF(AND(N$8&gt;='작업 관리'!$E31,N$8&lt;='작업 관리'!$F31),IF('작업 관리'!$I31="마일스톤",3,IF('작업 관리'!$G31="완료",2,1)),"")</f>
        <v/>
      </c>
      <c r="O31" s="55" t="str">
        <f>IF(AND(O$8&gt;='작업 관리'!$E31,O$8&lt;='작업 관리'!$F31),IF('작업 관리'!$I31="마일스톤",3,IF('작업 관리'!$G31="완료",2,1)),"")</f>
        <v/>
      </c>
      <c r="P31" s="54" t="str">
        <f>IF(AND(P$8&gt;='작업 관리'!$E31,P$8&lt;='작업 관리'!$F31),IF('작업 관리'!$I31="마일스톤",3,IF('작업 관리'!$G31="완료",2,1)),"")</f>
        <v/>
      </c>
      <c r="Q31" s="54" t="str">
        <f>IF(AND(Q$8&gt;='작업 관리'!$E31,Q$8&lt;='작업 관리'!$F31),IF('작업 관리'!$I31="마일스톤",3,IF('작업 관리'!$G31="완료",2,1)),"")</f>
        <v/>
      </c>
      <c r="R31" s="54" t="str">
        <f>IF(AND(R$8&gt;='작업 관리'!$E31,R$8&lt;='작업 관리'!$F31),IF('작업 관리'!$I31="마일스톤",3,IF('작업 관리'!$G31="완료",2,1)),"")</f>
        <v/>
      </c>
      <c r="S31" s="54" t="str">
        <f>IF(AND(S$8&gt;='작업 관리'!$E31,S$8&lt;='작업 관리'!$F31),IF('작업 관리'!$I31="마일스톤",3,IF('작업 관리'!$G31="완료",2,1)),"")</f>
        <v/>
      </c>
    </row>
    <row r="32" spans="1:19" ht="48" customHeight="1">
      <c r="A32" s="33" t="str">
        <f>'작업 관리'!A32</f>
        <v>3.1</v>
      </c>
      <c r="B32" s="20" t="str">
        <f>'작업 관리'!C32</f>
        <v>변동 기여도와 재무비율 계산</v>
      </c>
      <c r="C32" s="23" t="str">
        <f>'작업 관리'!D32</f>
        <v>김동민</v>
      </c>
      <c r="D32" s="56" t="str">
        <f>IF(AND(D$8&gt;='작업 관리'!$E32,D$8&lt;='작업 관리'!$F32),IF('작업 관리'!$I32="마일스톤",3,IF('작업 관리'!$G32="완료",2,1)),"")</f>
        <v/>
      </c>
      <c r="E32" s="56" t="str">
        <f>IF(AND(E$8&gt;='작업 관리'!$E32,E$8&lt;='작업 관리'!$F32),IF('작업 관리'!$I32="마일스톤",3,IF('작업 관리'!$G32="완료",2,1)),"")</f>
        <v/>
      </c>
      <c r="F32" s="56" t="str">
        <f>IF(AND(F$8&gt;='작업 관리'!$E32,F$8&lt;='작업 관리'!$F32),IF('작업 관리'!$I32="마일스톤",3,IF('작업 관리'!$G32="완료",2,1)),"")</f>
        <v/>
      </c>
      <c r="G32" s="55">
        <f>IF(AND(G$8&gt;='작업 관리'!$E32,G$8&lt;='작업 관리'!$F32),IF('작업 관리'!$I32="마일스톤",3,IF('작업 관리'!$G32="완료",2,1)),"")</f>
        <v>1</v>
      </c>
      <c r="H32" s="55">
        <f>IF(AND(H$8&gt;='작업 관리'!$E32,H$8&lt;='작업 관리'!$F32),IF('작업 관리'!$I32="마일스톤",3,IF('작업 관리'!$G32="완료",2,1)),"")</f>
        <v>1</v>
      </c>
      <c r="I32" s="56">
        <f>IF(AND(I$8&gt;='작업 관리'!$E32,I$8&lt;='작업 관리'!$F32),IF('작업 관리'!$I32="마일스톤",3,IF('작업 관리'!$G32="완료",2,1)),"")</f>
        <v>1</v>
      </c>
      <c r="J32" s="56" t="str">
        <f>IF(AND(J$8&gt;='작업 관리'!$E32,J$8&lt;='작업 관리'!$F32),IF('작업 관리'!$I32="마일스톤",3,IF('작업 관리'!$G32="완료",2,1)),"")</f>
        <v/>
      </c>
      <c r="K32" s="56" t="str">
        <f>IF(AND(K$8&gt;='작업 관리'!$E32,K$8&lt;='작업 관리'!$F32),IF('작업 관리'!$I32="마일스톤",3,IF('작업 관리'!$G32="완료",2,1)),"")</f>
        <v/>
      </c>
      <c r="L32" s="56" t="str">
        <f>IF(AND(L$8&gt;='작업 관리'!$E32,L$8&lt;='작업 관리'!$F32),IF('작업 관리'!$I32="마일스톤",3,IF('작업 관리'!$G32="완료",2,1)),"")</f>
        <v/>
      </c>
      <c r="M32" s="56" t="str">
        <f>IF(AND(M$8&gt;='작업 관리'!$E32,M$8&lt;='작업 관리'!$F32),IF('작업 관리'!$I32="마일스톤",3,IF('작업 관리'!$G32="완료",2,1)),"")</f>
        <v/>
      </c>
      <c r="N32" s="55" t="str">
        <f>IF(AND(N$8&gt;='작업 관리'!$E32,N$8&lt;='작업 관리'!$F32),IF('작업 관리'!$I32="마일스톤",3,IF('작업 관리'!$G32="완료",2,1)),"")</f>
        <v/>
      </c>
      <c r="O32" s="55" t="str">
        <f>IF(AND(O$8&gt;='작업 관리'!$E32,O$8&lt;='작업 관리'!$F32),IF('작업 관리'!$I32="마일스톤",3,IF('작업 관리'!$G32="완료",2,1)),"")</f>
        <v/>
      </c>
      <c r="P32" s="56" t="str">
        <f>IF(AND(P$8&gt;='작업 관리'!$E32,P$8&lt;='작업 관리'!$F32),IF('작업 관리'!$I32="마일스톤",3,IF('작업 관리'!$G32="완료",2,1)),"")</f>
        <v/>
      </c>
      <c r="Q32" s="56" t="str">
        <f>IF(AND(Q$8&gt;='작업 관리'!$E32,Q$8&lt;='작업 관리'!$F32),IF('작업 관리'!$I32="마일스톤",3,IF('작업 관리'!$G32="완료",2,1)),"")</f>
        <v/>
      </c>
      <c r="R32" s="56" t="str">
        <f>IF(AND(R$8&gt;='작업 관리'!$E32,R$8&lt;='작업 관리'!$F32),IF('작업 관리'!$I32="마일스톤",3,IF('작업 관리'!$G32="완료",2,1)),"")</f>
        <v/>
      </c>
      <c r="S32" s="56" t="str">
        <f>IF(AND(S$8&gt;='작업 관리'!$E32,S$8&lt;='작업 관리'!$F32),IF('작업 관리'!$I32="마일스톤",3,IF('작업 관리'!$G32="완료",2,1)),"")</f>
        <v/>
      </c>
    </row>
    <row r="33" spans="1:19" ht="48" customHeight="1">
      <c r="A33" s="38" t="str">
        <f>'작업 관리'!A33</f>
        <v>3.12</v>
      </c>
      <c r="B33" s="17" t="str">
        <f>'작업 관리'!C33</f>
        <v>겸업 판정·업종 변경 근거 기록</v>
      </c>
      <c r="C33" s="4" t="str">
        <f>'작업 관리'!D33</f>
        <v>서종원</v>
      </c>
      <c r="D33" s="54" t="str">
        <f>IF(AND(D$8&gt;='작업 관리'!$E33,D$8&lt;='작업 관리'!$F33),IF('작업 관리'!$I33="마일스톤",3,IF('작업 관리'!$G33="완료",2,1)),"")</f>
        <v/>
      </c>
      <c r="E33" s="54" t="str">
        <f>IF(AND(E$8&gt;='작업 관리'!$E33,E$8&lt;='작업 관리'!$F33),IF('작업 관리'!$I33="마일스톤",3,IF('작업 관리'!$G33="완료",2,1)),"")</f>
        <v/>
      </c>
      <c r="F33" s="54" t="str">
        <f>IF(AND(F$8&gt;='작업 관리'!$E33,F$8&lt;='작업 관리'!$F33),IF('작업 관리'!$I33="마일스톤",3,IF('작업 관리'!$G33="완료",2,1)),"")</f>
        <v/>
      </c>
      <c r="G33" s="55">
        <f>IF(AND(G$8&gt;='작업 관리'!$E33,G$8&lt;='작업 관리'!$F33),IF('작업 관리'!$I33="마일스톤",3,IF('작업 관리'!$G33="완료",2,1)),"")</f>
        <v>1</v>
      </c>
      <c r="H33" s="55">
        <f>IF(AND(H$8&gt;='작업 관리'!$E33,H$8&lt;='작업 관리'!$F33),IF('작업 관리'!$I33="마일스톤",3,IF('작업 관리'!$G33="완료",2,1)),"")</f>
        <v>1</v>
      </c>
      <c r="I33" s="54" t="str">
        <f>IF(AND(I$8&gt;='작업 관리'!$E33,I$8&lt;='작업 관리'!$F33),IF('작업 관리'!$I33="마일스톤",3,IF('작업 관리'!$G33="완료",2,1)),"")</f>
        <v/>
      </c>
      <c r="J33" s="54" t="str">
        <f>IF(AND(J$8&gt;='작업 관리'!$E33,J$8&lt;='작업 관리'!$F33),IF('작업 관리'!$I33="마일스톤",3,IF('작업 관리'!$G33="완료",2,1)),"")</f>
        <v/>
      </c>
      <c r="K33" s="54" t="str">
        <f>IF(AND(K$8&gt;='작업 관리'!$E33,K$8&lt;='작업 관리'!$F33),IF('작업 관리'!$I33="마일스톤",3,IF('작업 관리'!$G33="완료",2,1)),"")</f>
        <v/>
      </c>
      <c r="L33" s="54" t="str">
        <f>IF(AND(L$8&gt;='작업 관리'!$E33,L$8&lt;='작업 관리'!$F33),IF('작업 관리'!$I33="마일스톤",3,IF('작업 관리'!$G33="완료",2,1)),"")</f>
        <v/>
      </c>
      <c r="M33" s="54" t="str">
        <f>IF(AND(M$8&gt;='작업 관리'!$E33,M$8&lt;='작업 관리'!$F33),IF('작업 관리'!$I33="마일스톤",3,IF('작업 관리'!$G33="완료",2,1)),"")</f>
        <v/>
      </c>
      <c r="N33" s="55" t="str">
        <f>IF(AND(N$8&gt;='작업 관리'!$E33,N$8&lt;='작업 관리'!$F33),IF('작업 관리'!$I33="마일스톤",3,IF('작업 관리'!$G33="완료",2,1)),"")</f>
        <v/>
      </c>
      <c r="O33" s="55" t="str">
        <f>IF(AND(O$8&gt;='작업 관리'!$E33,O$8&lt;='작업 관리'!$F33),IF('작업 관리'!$I33="마일스톤",3,IF('작업 관리'!$G33="완료",2,1)),"")</f>
        <v/>
      </c>
      <c r="P33" s="54" t="str">
        <f>IF(AND(P$8&gt;='작업 관리'!$E33,P$8&lt;='작업 관리'!$F33),IF('작업 관리'!$I33="마일스톤",3,IF('작업 관리'!$G33="완료",2,1)),"")</f>
        <v/>
      </c>
      <c r="Q33" s="54" t="str">
        <f>IF(AND(Q$8&gt;='작업 관리'!$E33,Q$8&lt;='작업 관리'!$F33),IF('작업 관리'!$I33="마일스톤",3,IF('작업 관리'!$G33="완료",2,1)),"")</f>
        <v/>
      </c>
      <c r="R33" s="54" t="str">
        <f>IF(AND(R$8&gt;='작업 관리'!$E33,R$8&lt;='작업 관리'!$F33),IF('작업 관리'!$I33="마일스톤",3,IF('작업 관리'!$G33="완료",2,1)),"")</f>
        <v/>
      </c>
      <c r="S33" s="54" t="str">
        <f>IF(AND(S$8&gt;='작업 관리'!$E33,S$8&lt;='작업 관리'!$F33),IF('작업 관리'!$I33="마일스톤",3,IF('작업 관리'!$G33="완료",2,1)),"")</f>
        <v/>
      </c>
    </row>
    <row r="34" spans="1:19" ht="48" customHeight="1">
      <c r="A34" s="33" t="str">
        <f>'작업 관리'!A34</f>
        <v>3.3</v>
      </c>
      <c r="B34" s="20" t="str">
        <f>'작업 관리'!C34</f>
        <v>핵심 재무 대시보드와 차트</v>
      </c>
      <c r="C34" s="23" t="str">
        <f>'작업 관리'!D34</f>
        <v>서종원</v>
      </c>
      <c r="D34" s="56" t="str">
        <f>IF(AND(D$8&gt;='작업 관리'!$E34,D$8&lt;='작업 관리'!$F34),IF('작업 관리'!$I34="마일스톤",3,IF('작업 관리'!$G34="완료",2,1)),"")</f>
        <v/>
      </c>
      <c r="E34" s="56" t="str">
        <f>IF(AND(E$8&gt;='작업 관리'!$E34,E$8&lt;='작업 관리'!$F34),IF('작업 관리'!$I34="마일스톤",3,IF('작업 관리'!$G34="완료",2,1)),"")</f>
        <v/>
      </c>
      <c r="F34" s="56" t="str">
        <f>IF(AND(F$8&gt;='작업 관리'!$E34,F$8&lt;='작업 관리'!$F34),IF('작업 관리'!$I34="마일스톤",3,IF('작업 관리'!$G34="완료",2,1)),"")</f>
        <v/>
      </c>
      <c r="G34" s="55" t="str">
        <f>IF(AND(G$8&gt;='작업 관리'!$E34,G$8&lt;='작업 관리'!$F34),IF('작업 관리'!$I34="마일스톤",3,IF('작업 관리'!$G34="완료",2,1)),"")</f>
        <v/>
      </c>
      <c r="H34" s="55">
        <f>IF(AND(H$8&gt;='작업 관리'!$E34,H$8&lt;='작업 관리'!$F34),IF('작업 관리'!$I34="마일스톤",3,IF('작업 관리'!$G34="완료",2,1)),"")</f>
        <v>1</v>
      </c>
      <c r="I34" s="56">
        <f>IF(AND(I$8&gt;='작업 관리'!$E34,I$8&lt;='작업 관리'!$F34),IF('작업 관리'!$I34="마일스톤",3,IF('작업 관리'!$G34="완료",2,1)),"")</f>
        <v>1</v>
      </c>
      <c r="J34" s="56" t="str">
        <f>IF(AND(J$8&gt;='작업 관리'!$E34,J$8&lt;='작업 관리'!$F34),IF('작업 관리'!$I34="마일스톤",3,IF('작업 관리'!$G34="완료",2,1)),"")</f>
        <v/>
      </c>
      <c r="K34" s="56" t="str">
        <f>IF(AND(K$8&gt;='작업 관리'!$E34,K$8&lt;='작업 관리'!$F34),IF('작업 관리'!$I34="마일스톤",3,IF('작업 관리'!$G34="완료",2,1)),"")</f>
        <v/>
      </c>
      <c r="L34" s="56" t="str">
        <f>IF(AND(L$8&gt;='작업 관리'!$E34,L$8&lt;='작업 관리'!$F34),IF('작업 관리'!$I34="마일스톤",3,IF('작업 관리'!$G34="완료",2,1)),"")</f>
        <v/>
      </c>
      <c r="M34" s="56" t="str">
        <f>IF(AND(M$8&gt;='작업 관리'!$E34,M$8&lt;='작업 관리'!$F34),IF('작업 관리'!$I34="마일스톤",3,IF('작업 관리'!$G34="완료",2,1)),"")</f>
        <v/>
      </c>
      <c r="N34" s="55" t="str">
        <f>IF(AND(N$8&gt;='작업 관리'!$E34,N$8&lt;='작업 관리'!$F34),IF('작업 관리'!$I34="마일스톤",3,IF('작업 관리'!$G34="완료",2,1)),"")</f>
        <v/>
      </c>
      <c r="O34" s="55" t="str">
        <f>IF(AND(O$8&gt;='작업 관리'!$E34,O$8&lt;='작업 관리'!$F34),IF('작업 관리'!$I34="마일스톤",3,IF('작업 관리'!$G34="완료",2,1)),"")</f>
        <v/>
      </c>
      <c r="P34" s="56" t="str">
        <f>IF(AND(P$8&gt;='작업 관리'!$E34,P$8&lt;='작업 관리'!$F34),IF('작업 관리'!$I34="마일스톤",3,IF('작업 관리'!$G34="완료",2,1)),"")</f>
        <v/>
      </c>
      <c r="Q34" s="56" t="str">
        <f>IF(AND(Q$8&gt;='작업 관리'!$E34,Q$8&lt;='작업 관리'!$F34),IF('작업 관리'!$I34="마일스톤",3,IF('작업 관리'!$G34="완료",2,1)),"")</f>
        <v/>
      </c>
      <c r="R34" s="56" t="str">
        <f>IF(AND(R$8&gt;='작업 관리'!$E34,R$8&lt;='작업 관리'!$F34),IF('작업 관리'!$I34="마일스톤",3,IF('작업 관리'!$G34="완료",2,1)),"")</f>
        <v/>
      </c>
      <c r="S34" s="56" t="str">
        <f>IF(AND(S$8&gt;='작업 관리'!$E34,S$8&lt;='작업 관리'!$F34),IF('작업 관리'!$I34="마일스톤",3,IF('작업 관리'!$G34="완료",2,1)),"")</f>
        <v/>
      </c>
    </row>
    <row r="35" spans="1:19" ht="48" customHeight="1">
      <c r="A35" s="38" t="str">
        <f>'작업 관리'!A35</f>
        <v>3.8</v>
      </c>
      <c r="B35" s="17" t="str">
        <f>'작업 관리'!C35</f>
        <v>차입 상환능력·영업순환 지표 계산</v>
      </c>
      <c r="C35" s="4" t="str">
        <f>'작업 관리'!D35</f>
        <v>김동민</v>
      </c>
      <c r="D35" s="54" t="str">
        <f>IF(AND(D$8&gt;='작업 관리'!$E35,D$8&lt;='작업 관리'!$F35),IF('작업 관리'!$I35="마일스톤",3,IF('작업 관리'!$G35="완료",2,1)),"")</f>
        <v/>
      </c>
      <c r="E35" s="54" t="str">
        <f>IF(AND(E$8&gt;='작업 관리'!$E35,E$8&lt;='작업 관리'!$F35),IF('작업 관리'!$I35="마일스톤",3,IF('작업 관리'!$G35="완료",2,1)),"")</f>
        <v/>
      </c>
      <c r="F35" s="54" t="str">
        <f>IF(AND(F$8&gt;='작업 관리'!$E35,F$8&lt;='작업 관리'!$F35),IF('작업 관리'!$I35="마일스톤",3,IF('작업 관리'!$G35="완료",2,1)),"")</f>
        <v/>
      </c>
      <c r="G35" s="55" t="str">
        <f>IF(AND(G$8&gt;='작업 관리'!$E35,G$8&lt;='작업 관리'!$F35),IF('작업 관리'!$I35="마일스톤",3,IF('작업 관리'!$G35="완료",2,1)),"")</f>
        <v/>
      </c>
      <c r="H35" s="55" t="str">
        <f>IF(AND(H$8&gt;='작업 관리'!$E35,H$8&lt;='작업 관리'!$F35),IF('작업 관리'!$I35="마일스톤",3,IF('작업 관리'!$G35="완료",2,1)),"")</f>
        <v/>
      </c>
      <c r="I35" s="54">
        <f>IF(AND(I$8&gt;='작업 관리'!$E35,I$8&lt;='작업 관리'!$F35),IF('작업 관리'!$I35="마일스톤",3,IF('작업 관리'!$G35="완료",2,1)),"")</f>
        <v>1</v>
      </c>
      <c r="J35" s="54" t="str">
        <f>IF(AND(J$8&gt;='작업 관리'!$E35,J$8&lt;='작업 관리'!$F35),IF('작업 관리'!$I35="마일스톤",3,IF('작업 관리'!$G35="완료",2,1)),"")</f>
        <v/>
      </c>
      <c r="K35" s="54" t="str">
        <f>IF(AND(K$8&gt;='작업 관리'!$E35,K$8&lt;='작업 관리'!$F35),IF('작업 관리'!$I35="마일스톤",3,IF('작업 관리'!$G35="완료",2,1)),"")</f>
        <v/>
      </c>
      <c r="L35" s="54" t="str">
        <f>IF(AND(L$8&gt;='작업 관리'!$E35,L$8&lt;='작업 관리'!$F35),IF('작업 관리'!$I35="마일스톤",3,IF('작업 관리'!$G35="완료",2,1)),"")</f>
        <v/>
      </c>
      <c r="M35" s="54" t="str">
        <f>IF(AND(M$8&gt;='작업 관리'!$E35,M$8&lt;='작업 관리'!$F35),IF('작업 관리'!$I35="마일스톤",3,IF('작업 관리'!$G35="완료",2,1)),"")</f>
        <v/>
      </c>
      <c r="N35" s="55" t="str">
        <f>IF(AND(N$8&gt;='작업 관리'!$E35,N$8&lt;='작업 관리'!$F35),IF('작업 관리'!$I35="마일스톤",3,IF('작업 관리'!$G35="완료",2,1)),"")</f>
        <v/>
      </c>
      <c r="O35" s="55" t="str">
        <f>IF(AND(O$8&gt;='작업 관리'!$E35,O$8&lt;='작업 관리'!$F35),IF('작업 관리'!$I35="마일스톤",3,IF('작업 관리'!$G35="완료",2,1)),"")</f>
        <v/>
      </c>
      <c r="P35" s="54" t="str">
        <f>IF(AND(P$8&gt;='작업 관리'!$E35,P$8&lt;='작업 관리'!$F35),IF('작업 관리'!$I35="마일스톤",3,IF('작업 관리'!$G35="완료",2,1)),"")</f>
        <v/>
      </c>
      <c r="Q35" s="54" t="str">
        <f>IF(AND(Q$8&gt;='작업 관리'!$E35,Q$8&lt;='작업 관리'!$F35),IF('작업 관리'!$I35="마일스톤",3,IF('작업 관리'!$G35="완료",2,1)),"")</f>
        <v/>
      </c>
      <c r="R35" s="54" t="str">
        <f>IF(AND(R$8&gt;='작업 관리'!$E35,R$8&lt;='작업 관리'!$F35),IF('작업 관리'!$I35="마일스톤",3,IF('작업 관리'!$G35="완료",2,1)),"")</f>
        <v/>
      </c>
      <c r="S35" s="54" t="str">
        <f>IF(AND(S$8&gt;='작업 관리'!$E35,S$8&lt;='작업 관리'!$F35),IF('작업 관리'!$I35="마일스톤",3,IF('작업 관리'!$G35="완료",2,1)),"")</f>
        <v/>
      </c>
    </row>
    <row r="36" spans="1:19" ht="48" customHeight="1">
      <c r="A36" s="33" t="str">
        <f>'작업 관리'!A36</f>
        <v>3.4</v>
      </c>
      <c r="B36" s="20" t="str">
        <f>'작업 관리'!C36</f>
        <v>확인 체크와 재무 검토 기록 초안</v>
      </c>
      <c r="C36" s="23" t="str">
        <f>'작업 관리'!D36</f>
        <v>서종원</v>
      </c>
      <c r="D36" s="56" t="str">
        <f>IF(AND(D$8&gt;='작업 관리'!$E36,D$8&lt;='작업 관리'!$F36),IF('작업 관리'!$I36="마일스톤",3,IF('작업 관리'!$G36="완료",2,1)),"")</f>
        <v/>
      </c>
      <c r="E36" s="56" t="str">
        <f>IF(AND(E$8&gt;='작업 관리'!$E36,E$8&lt;='작업 관리'!$F36),IF('작업 관리'!$I36="마일스톤",3,IF('작업 관리'!$G36="완료",2,1)),"")</f>
        <v/>
      </c>
      <c r="F36" s="56" t="str">
        <f>IF(AND(F$8&gt;='작업 관리'!$E36,F$8&lt;='작업 관리'!$F36),IF('작업 관리'!$I36="마일스톤",3,IF('작업 관리'!$G36="완료",2,1)),"")</f>
        <v/>
      </c>
      <c r="G36" s="55" t="str">
        <f>IF(AND(G$8&gt;='작업 관리'!$E36,G$8&lt;='작업 관리'!$F36),IF('작업 관리'!$I36="마일스톤",3,IF('작업 관리'!$G36="완료",2,1)),"")</f>
        <v/>
      </c>
      <c r="H36" s="55" t="str">
        <f>IF(AND(H$8&gt;='작업 관리'!$E36,H$8&lt;='작업 관리'!$F36),IF('작업 관리'!$I36="마일스톤",3,IF('작업 관리'!$G36="완료",2,1)),"")</f>
        <v/>
      </c>
      <c r="I36" s="56" t="str">
        <f>IF(AND(I$8&gt;='작업 관리'!$E36,I$8&lt;='작업 관리'!$F36),IF('작업 관리'!$I36="마일스톤",3,IF('작업 관리'!$G36="완료",2,1)),"")</f>
        <v/>
      </c>
      <c r="J36" s="56">
        <f>IF(AND(J$8&gt;='작업 관리'!$E36,J$8&lt;='작업 관리'!$F36),IF('작업 관리'!$I36="마일스톤",3,IF('작업 관리'!$G36="완료",2,1)),"")</f>
        <v>1</v>
      </c>
      <c r="K36" s="56">
        <f>IF(AND(K$8&gt;='작업 관리'!$E36,K$8&lt;='작업 관리'!$F36),IF('작업 관리'!$I36="마일스톤",3,IF('작업 관리'!$G36="완료",2,1)),"")</f>
        <v>1</v>
      </c>
      <c r="L36" s="56" t="str">
        <f>IF(AND(L$8&gt;='작업 관리'!$E36,L$8&lt;='작업 관리'!$F36),IF('작업 관리'!$I36="마일스톤",3,IF('작업 관리'!$G36="완료",2,1)),"")</f>
        <v/>
      </c>
      <c r="M36" s="56" t="str">
        <f>IF(AND(M$8&gt;='작업 관리'!$E36,M$8&lt;='작업 관리'!$F36),IF('작업 관리'!$I36="마일스톤",3,IF('작업 관리'!$G36="완료",2,1)),"")</f>
        <v/>
      </c>
      <c r="N36" s="55" t="str">
        <f>IF(AND(N$8&gt;='작업 관리'!$E36,N$8&lt;='작업 관리'!$F36),IF('작업 관리'!$I36="마일스톤",3,IF('작업 관리'!$G36="완료",2,1)),"")</f>
        <v/>
      </c>
      <c r="O36" s="55" t="str">
        <f>IF(AND(O$8&gt;='작업 관리'!$E36,O$8&lt;='작업 관리'!$F36),IF('작업 관리'!$I36="마일스톤",3,IF('작업 관리'!$G36="완료",2,1)),"")</f>
        <v/>
      </c>
      <c r="P36" s="56" t="str">
        <f>IF(AND(P$8&gt;='작업 관리'!$E36,P$8&lt;='작업 관리'!$F36),IF('작업 관리'!$I36="마일스톤",3,IF('작업 관리'!$G36="완료",2,1)),"")</f>
        <v/>
      </c>
      <c r="Q36" s="56" t="str">
        <f>IF(AND(Q$8&gt;='작업 관리'!$E36,Q$8&lt;='작업 관리'!$F36),IF('작업 관리'!$I36="마일스톤",3,IF('작업 관리'!$G36="완료",2,1)),"")</f>
        <v/>
      </c>
      <c r="R36" s="56" t="str">
        <f>IF(AND(R$8&gt;='작업 관리'!$E36,R$8&lt;='작업 관리'!$F36),IF('작업 관리'!$I36="마일스톤",3,IF('작업 관리'!$G36="완료",2,1)),"")</f>
        <v/>
      </c>
      <c r="S36" s="56" t="str">
        <f>IF(AND(S$8&gt;='작업 관리'!$E36,S$8&lt;='작업 관리'!$F36),IF('작업 관리'!$I36="마일스톤",3,IF('작업 관리'!$G36="완료",2,1)),"")</f>
        <v/>
      </c>
    </row>
    <row r="37" spans="1:19" ht="48" customHeight="1">
      <c r="A37" s="38" t="str">
        <f>'작업 관리'!A37</f>
        <v>3.6</v>
      </c>
      <c r="B37" s="17" t="str">
        <f>'작업 관리'!C37</f>
        <v>업종별 확인 기준 검토</v>
      </c>
      <c r="C37" s="4" t="str">
        <f>'작업 관리'!D37</f>
        <v>오준탁</v>
      </c>
      <c r="D37" s="54" t="str">
        <f>IF(AND(D$8&gt;='작업 관리'!$E37,D$8&lt;='작업 관리'!$F37),IF('작업 관리'!$I37="마일스톤",3,IF('작업 관리'!$G37="완료",2,1)),"")</f>
        <v/>
      </c>
      <c r="E37" s="54" t="str">
        <f>IF(AND(E$8&gt;='작업 관리'!$E37,E$8&lt;='작업 관리'!$F37),IF('작업 관리'!$I37="마일스톤",3,IF('작업 관리'!$G37="완료",2,1)),"")</f>
        <v/>
      </c>
      <c r="F37" s="54" t="str">
        <f>IF(AND(F$8&gt;='작업 관리'!$E37,F$8&lt;='작업 관리'!$F37),IF('작업 관리'!$I37="마일스톤",3,IF('작업 관리'!$G37="완료",2,1)),"")</f>
        <v/>
      </c>
      <c r="G37" s="55" t="str">
        <f>IF(AND(G$8&gt;='작업 관리'!$E37,G$8&lt;='작업 관리'!$F37),IF('작업 관리'!$I37="마일스톤",3,IF('작업 관리'!$G37="완료",2,1)),"")</f>
        <v/>
      </c>
      <c r="H37" s="55" t="str">
        <f>IF(AND(H$8&gt;='작업 관리'!$E37,H$8&lt;='작업 관리'!$F37),IF('작업 관리'!$I37="마일스톤",3,IF('작업 관리'!$G37="완료",2,1)),"")</f>
        <v/>
      </c>
      <c r="I37" s="54" t="str">
        <f>IF(AND(I$8&gt;='작업 관리'!$E37,I$8&lt;='작업 관리'!$F37),IF('작업 관리'!$I37="마일스톤",3,IF('작업 관리'!$G37="완료",2,1)),"")</f>
        <v/>
      </c>
      <c r="J37" s="54">
        <f>IF(AND(J$8&gt;='작업 관리'!$E37,J$8&lt;='작업 관리'!$F37),IF('작업 관리'!$I37="마일스톤",3,IF('작업 관리'!$G37="완료",2,1)),"")</f>
        <v>1</v>
      </c>
      <c r="K37" s="54">
        <f>IF(AND(K$8&gt;='작업 관리'!$E37,K$8&lt;='작업 관리'!$F37),IF('작업 관리'!$I37="마일스톤",3,IF('작업 관리'!$G37="완료",2,1)),"")</f>
        <v>1</v>
      </c>
      <c r="L37" s="54" t="str">
        <f>IF(AND(L$8&gt;='작업 관리'!$E37,L$8&lt;='작업 관리'!$F37),IF('작업 관리'!$I37="마일스톤",3,IF('작업 관리'!$G37="완료",2,1)),"")</f>
        <v/>
      </c>
      <c r="M37" s="54" t="str">
        <f>IF(AND(M$8&gt;='작업 관리'!$E37,M$8&lt;='작업 관리'!$F37),IF('작업 관리'!$I37="마일스톤",3,IF('작업 관리'!$G37="완료",2,1)),"")</f>
        <v/>
      </c>
      <c r="N37" s="55" t="str">
        <f>IF(AND(N$8&gt;='작업 관리'!$E37,N$8&lt;='작업 관리'!$F37),IF('작업 관리'!$I37="마일스톤",3,IF('작업 관리'!$G37="완료",2,1)),"")</f>
        <v/>
      </c>
      <c r="O37" s="55" t="str">
        <f>IF(AND(O$8&gt;='작업 관리'!$E37,O$8&lt;='작업 관리'!$F37),IF('작업 관리'!$I37="마일스톤",3,IF('작업 관리'!$G37="완료",2,1)),"")</f>
        <v/>
      </c>
      <c r="P37" s="54" t="str">
        <f>IF(AND(P$8&gt;='작업 관리'!$E37,P$8&lt;='작업 관리'!$F37),IF('작업 관리'!$I37="마일스톤",3,IF('작업 관리'!$G37="완료",2,1)),"")</f>
        <v/>
      </c>
      <c r="Q37" s="54" t="str">
        <f>IF(AND(Q$8&gt;='작업 관리'!$E37,Q$8&lt;='작업 관리'!$F37),IF('작업 관리'!$I37="마일스톤",3,IF('작업 관리'!$G37="완료",2,1)),"")</f>
        <v/>
      </c>
      <c r="R37" s="54" t="str">
        <f>IF(AND(R$8&gt;='작업 관리'!$E37,R$8&lt;='작업 관리'!$F37),IF('작업 관리'!$I37="마일스톤",3,IF('작업 관리'!$G37="완료",2,1)),"")</f>
        <v/>
      </c>
      <c r="S37" s="54" t="str">
        <f>IF(AND(S$8&gt;='작업 관리'!$E37,S$8&lt;='작업 관리'!$F37),IF('작업 관리'!$I37="마일스톤",3,IF('작업 관리'!$G37="완료",2,1)),"")</f>
        <v/>
      </c>
    </row>
    <row r="38" spans="1:19" ht="48" customHeight="1">
      <c r="A38" s="33" t="str">
        <f>'작업 관리'!A38</f>
        <v>3.9</v>
      </c>
      <c r="B38" s="20" t="str">
        <f>'작업 관리'!C38</f>
        <v>업종 위험 지표·징후 단계 판정 연결</v>
      </c>
      <c r="C38" s="23" t="str">
        <f>'작업 관리'!D38</f>
        <v>김동민</v>
      </c>
      <c r="D38" s="56" t="str">
        <f>IF(AND(D$8&gt;='작업 관리'!$E38,D$8&lt;='작업 관리'!$F38),IF('작업 관리'!$I38="마일스톤",3,IF('작업 관리'!$G38="완료",2,1)),"")</f>
        <v/>
      </c>
      <c r="E38" s="56" t="str">
        <f>IF(AND(E$8&gt;='작업 관리'!$E38,E$8&lt;='작업 관리'!$F38),IF('작업 관리'!$I38="마일스톤",3,IF('작업 관리'!$G38="완료",2,1)),"")</f>
        <v/>
      </c>
      <c r="F38" s="56" t="str">
        <f>IF(AND(F$8&gt;='작업 관리'!$E38,F$8&lt;='작업 관리'!$F38),IF('작업 관리'!$I38="마일스톤",3,IF('작업 관리'!$G38="완료",2,1)),"")</f>
        <v/>
      </c>
      <c r="G38" s="55" t="str">
        <f>IF(AND(G$8&gt;='작업 관리'!$E38,G$8&lt;='작업 관리'!$F38),IF('작업 관리'!$I38="마일스톤",3,IF('작업 관리'!$G38="완료",2,1)),"")</f>
        <v/>
      </c>
      <c r="H38" s="55" t="str">
        <f>IF(AND(H$8&gt;='작업 관리'!$E38,H$8&lt;='작업 관리'!$F38),IF('작업 관리'!$I38="마일스톤",3,IF('작업 관리'!$G38="완료",2,1)),"")</f>
        <v/>
      </c>
      <c r="I38" s="56" t="str">
        <f>IF(AND(I$8&gt;='작업 관리'!$E38,I$8&lt;='작업 관리'!$F38),IF('작업 관리'!$I38="마일스톤",3,IF('작업 관리'!$G38="완료",2,1)),"")</f>
        <v/>
      </c>
      <c r="J38" s="56">
        <f>IF(AND(J$8&gt;='작업 관리'!$E38,J$8&lt;='작업 관리'!$F38),IF('작업 관리'!$I38="마일스톤",3,IF('작업 관리'!$G38="완료",2,1)),"")</f>
        <v>1</v>
      </c>
      <c r="K38" s="56">
        <f>IF(AND(K$8&gt;='작업 관리'!$E38,K$8&lt;='작업 관리'!$F38),IF('작업 관리'!$I38="마일스톤",3,IF('작업 관리'!$G38="완료",2,1)),"")</f>
        <v>1</v>
      </c>
      <c r="L38" s="56" t="str">
        <f>IF(AND(L$8&gt;='작업 관리'!$E38,L$8&lt;='작업 관리'!$F38),IF('작업 관리'!$I38="마일스톤",3,IF('작업 관리'!$G38="완료",2,1)),"")</f>
        <v/>
      </c>
      <c r="M38" s="56" t="str">
        <f>IF(AND(M$8&gt;='작업 관리'!$E38,M$8&lt;='작업 관리'!$F38),IF('작업 관리'!$I38="마일스톤",3,IF('작업 관리'!$G38="완료",2,1)),"")</f>
        <v/>
      </c>
      <c r="N38" s="55" t="str">
        <f>IF(AND(N$8&gt;='작업 관리'!$E38,N$8&lt;='작업 관리'!$F38),IF('작업 관리'!$I38="마일스톤",3,IF('작업 관리'!$G38="완료",2,1)),"")</f>
        <v/>
      </c>
      <c r="O38" s="55" t="str">
        <f>IF(AND(O$8&gt;='작업 관리'!$E38,O$8&lt;='작업 관리'!$F38),IF('작업 관리'!$I38="마일스톤",3,IF('작업 관리'!$G38="완료",2,1)),"")</f>
        <v/>
      </c>
      <c r="P38" s="56" t="str">
        <f>IF(AND(P$8&gt;='작업 관리'!$E38,P$8&lt;='작업 관리'!$F38),IF('작업 관리'!$I38="마일스톤",3,IF('작업 관리'!$G38="완료",2,1)),"")</f>
        <v/>
      </c>
      <c r="Q38" s="56" t="str">
        <f>IF(AND(Q$8&gt;='작업 관리'!$E38,Q$8&lt;='작업 관리'!$F38),IF('작업 관리'!$I38="마일스톤",3,IF('작업 관리'!$G38="완료",2,1)),"")</f>
        <v/>
      </c>
      <c r="R38" s="56" t="str">
        <f>IF(AND(R$8&gt;='작업 관리'!$E38,R$8&lt;='작업 관리'!$F38),IF('작업 관리'!$I38="마일스톤",3,IF('작업 관리'!$G38="완료",2,1)),"")</f>
        <v/>
      </c>
      <c r="S38" s="56" t="str">
        <f>IF(AND(S$8&gt;='작업 관리'!$E38,S$8&lt;='작업 관리'!$F38),IF('작업 관리'!$I38="마일스톤",3,IF('작업 관리'!$G38="완료",2,1)),"")</f>
        <v/>
      </c>
    </row>
    <row r="39" spans="1:19" ht="48" customHeight="1">
      <c r="A39" s="38" t="str">
        <f>'작업 관리'!A39</f>
        <v>3.11</v>
      </c>
      <c r="B39" s="17" t="str">
        <f>'작업 관리'!C39</f>
        <v>직접 입력·출처·재계산 경로 검증</v>
      </c>
      <c r="C39" s="4" t="str">
        <f>'작업 관리'!D39</f>
        <v>서종원</v>
      </c>
      <c r="D39" s="54" t="str">
        <f>IF(AND(D$8&gt;='작업 관리'!$E39,D$8&lt;='작업 관리'!$F39),IF('작업 관리'!$I39="마일스톤",3,IF('작업 관리'!$G39="완료",2,1)),"")</f>
        <v/>
      </c>
      <c r="E39" s="54" t="str">
        <f>IF(AND(E$8&gt;='작업 관리'!$E39,E$8&lt;='작업 관리'!$F39),IF('작업 관리'!$I39="마일스톤",3,IF('작업 관리'!$G39="완료",2,1)),"")</f>
        <v/>
      </c>
      <c r="F39" s="54" t="str">
        <f>IF(AND(F$8&gt;='작업 관리'!$E39,F$8&lt;='작업 관리'!$F39),IF('작업 관리'!$I39="마일스톤",3,IF('작업 관리'!$G39="완료",2,1)),"")</f>
        <v/>
      </c>
      <c r="G39" s="55" t="str">
        <f>IF(AND(G$8&gt;='작업 관리'!$E39,G$8&lt;='작업 관리'!$F39),IF('작업 관리'!$I39="마일스톤",3,IF('작업 관리'!$G39="완료",2,1)),"")</f>
        <v/>
      </c>
      <c r="H39" s="55" t="str">
        <f>IF(AND(H$8&gt;='작업 관리'!$E39,H$8&lt;='작업 관리'!$F39),IF('작업 관리'!$I39="마일스톤",3,IF('작업 관리'!$G39="완료",2,1)),"")</f>
        <v/>
      </c>
      <c r="I39" s="54" t="str">
        <f>IF(AND(I$8&gt;='작업 관리'!$E39,I$8&lt;='작업 관리'!$F39),IF('작업 관리'!$I39="마일스톤",3,IF('작업 관리'!$G39="완료",2,1)),"")</f>
        <v/>
      </c>
      <c r="J39" s="54">
        <f>IF(AND(J$8&gt;='작업 관리'!$E39,J$8&lt;='작업 관리'!$F39),IF('작업 관리'!$I39="마일스톤",3,IF('작업 관리'!$G39="완료",2,1)),"")</f>
        <v>1</v>
      </c>
      <c r="K39" s="54">
        <f>IF(AND(K$8&gt;='작업 관리'!$E39,K$8&lt;='작업 관리'!$F39),IF('작업 관리'!$I39="마일스톤",3,IF('작업 관리'!$G39="완료",2,1)),"")</f>
        <v>1</v>
      </c>
      <c r="L39" s="54" t="str">
        <f>IF(AND(L$8&gt;='작업 관리'!$E39,L$8&lt;='작업 관리'!$F39),IF('작업 관리'!$I39="마일스톤",3,IF('작업 관리'!$G39="완료",2,1)),"")</f>
        <v/>
      </c>
      <c r="M39" s="54" t="str">
        <f>IF(AND(M$8&gt;='작업 관리'!$E39,M$8&lt;='작업 관리'!$F39),IF('작업 관리'!$I39="마일스톤",3,IF('작업 관리'!$G39="완료",2,1)),"")</f>
        <v/>
      </c>
      <c r="N39" s="55" t="str">
        <f>IF(AND(N$8&gt;='작업 관리'!$E39,N$8&lt;='작업 관리'!$F39),IF('작업 관리'!$I39="마일스톤",3,IF('작업 관리'!$G39="완료",2,1)),"")</f>
        <v/>
      </c>
      <c r="O39" s="55" t="str">
        <f>IF(AND(O$8&gt;='작업 관리'!$E39,O$8&lt;='작업 관리'!$F39),IF('작업 관리'!$I39="마일스톤",3,IF('작업 관리'!$G39="완료",2,1)),"")</f>
        <v/>
      </c>
      <c r="P39" s="54" t="str">
        <f>IF(AND(P$8&gt;='작업 관리'!$E39,P$8&lt;='작업 관리'!$F39),IF('작업 관리'!$I39="마일스톤",3,IF('작업 관리'!$G39="완료",2,1)),"")</f>
        <v/>
      </c>
      <c r="Q39" s="54" t="str">
        <f>IF(AND(Q$8&gt;='작업 관리'!$E39,Q$8&lt;='작업 관리'!$F39),IF('작업 관리'!$I39="마일스톤",3,IF('작업 관리'!$G39="완료",2,1)),"")</f>
        <v/>
      </c>
      <c r="R39" s="54" t="str">
        <f>IF(AND(R$8&gt;='작업 관리'!$E39,R$8&lt;='작업 관리'!$F39),IF('작업 관리'!$I39="마일스톤",3,IF('작업 관리'!$G39="완료",2,1)),"")</f>
        <v/>
      </c>
      <c r="S39" s="54" t="str">
        <f>IF(AND(S$8&gt;='작업 관리'!$E39,S$8&lt;='작업 관리'!$F39),IF('작업 관리'!$I39="마일스톤",3,IF('작업 관리'!$G39="완료",2,1)),"")</f>
        <v/>
      </c>
    </row>
    <row r="40" spans="1:19" ht="48" customHeight="1">
      <c r="A40" s="33" t="str">
        <f>'작업 관리'!A40</f>
        <v>3.10</v>
      </c>
      <c r="B40" s="20" t="str">
        <f>'작업 관리'!C40</f>
        <v>기존 주석 화면에 업종 위험 패널·차트 연결</v>
      </c>
      <c r="C40" s="23" t="str">
        <f>'작업 관리'!D40</f>
        <v>서종원</v>
      </c>
      <c r="D40" s="56" t="str">
        <f>IF(AND(D$8&gt;='작업 관리'!$E40,D$8&lt;='작업 관리'!$F40),IF('작업 관리'!$I40="마일스톤",3,IF('작업 관리'!$G40="완료",2,1)),"")</f>
        <v/>
      </c>
      <c r="E40" s="56" t="str">
        <f>IF(AND(E$8&gt;='작업 관리'!$E40,E$8&lt;='작업 관리'!$F40),IF('작업 관리'!$I40="마일스톤",3,IF('작업 관리'!$G40="완료",2,1)),"")</f>
        <v/>
      </c>
      <c r="F40" s="56" t="str">
        <f>IF(AND(F$8&gt;='작업 관리'!$E40,F$8&lt;='작업 관리'!$F40),IF('작업 관리'!$I40="마일스톤",3,IF('작업 관리'!$G40="완료",2,1)),"")</f>
        <v/>
      </c>
      <c r="G40" s="55" t="str">
        <f>IF(AND(G$8&gt;='작업 관리'!$E40,G$8&lt;='작업 관리'!$F40),IF('작업 관리'!$I40="마일스톤",3,IF('작업 관리'!$G40="완료",2,1)),"")</f>
        <v/>
      </c>
      <c r="H40" s="55" t="str">
        <f>IF(AND(H$8&gt;='작업 관리'!$E40,H$8&lt;='작업 관리'!$F40),IF('작업 관리'!$I40="마일스톤",3,IF('작업 관리'!$G40="완료",2,1)),"")</f>
        <v/>
      </c>
      <c r="I40" s="56" t="str">
        <f>IF(AND(I$8&gt;='작업 관리'!$E40,I$8&lt;='작업 관리'!$F40),IF('작업 관리'!$I40="마일스톤",3,IF('작업 관리'!$G40="완료",2,1)),"")</f>
        <v/>
      </c>
      <c r="J40" s="56" t="str">
        <f>IF(AND(J$8&gt;='작업 관리'!$E40,J$8&lt;='작업 관리'!$F40),IF('작업 관리'!$I40="마일스톤",3,IF('작업 관리'!$G40="완료",2,1)),"")</f>
        <v/>
      </c>
      <c r="K40" s="56">
        <f>IF(AND(K$8&gt;='작업 관리'!$E40,K$8&lt;='작업 관리'!$F40),IF('작업 관리'!$I40="마일스톤",3,IF('작업 관리'!$G40="완료",2,1)),"")</f>
        <v>1</v>
      </c>
      <c r="L40" s="56">
        <f>IF(AND(L$8&gt;='작업 관리'!$E40,L$8&lt;='작업 관리'!$F40),IF('작업 관리'!$I40="마일스톤",3,IF('작업 관리'!$G40="완료",2,1)),"")</f>
        <v>1</v>
      </c>
      <c r="M40" s="56">
        <f>IF(AND(M$8&gt;='작업 관리'!$E40,M$8&lt;='작업 관리'!$F40),IF('작업 관리'!$I40="마일스톤",3,IF('작업 관리'!$G40="완료",2,1)),"")</f>
        <v>1</v>
      </c>
      <c r="N40" s="55" t="str">
        <f>IF(AND(N$8&gt;='작업 관리'!$E40,N$8&lt;='작업 관리'!$F40),IF('작업 관리'!$I40="마일스톤",3,IF('작업 관리'!$G40="완료",2,1)),"")</f>
        <v/>
      </c>
      <c r="O40" s="55" t="str">
        <f>IF(AND(O$8&gt;='작업 관리'!$E40,O$8&lt;='작업 관리'!$F40),IF('작업 관리'!$I40="마일스톤",3,IF('작업 관리'!$G40="완료",2,1)),"")</f>
        <v/>
      </c>
      <c r="P40" s="56" t="str">
        <f>IF(AND(P$8&gt;='작업 관리'!$E40,P$8&lt;='작업 관리'!$F40),IF('작업 관리'!$I40="마일스톤",3,IF('작업 관리'!$G40="완료",2,1)),"")</f>
        <v/>
      </c>
      <c r="Q40" s="56" t="str">
        <f>IF(AND(Q$8&gt;='작업 관리'!$E40,Q$8&lt;='작업 관리'!$F40),IF('작업 관리'!$I40="마일스톤",3,IF('작업 관리'!$G40="완료",2,1)),"")</f>
        <v/>
      </c>
      <c r="R40" s="56" t="str">
        <f>IF(AND(R$8&gt;='작업 관리'!$E40,R$8&lt;='작업 관리'!$F40),IF('작업 관리'!$I40="마일스톤",3,IF('작업 관리'!$G40="완료",2,1)),"")</f>
        <v/>
      </c>
      <c r="S40" s="56" t="str">
        <f>IF(AND(S$8&gt;='작업 관리'!$E40,S$8&lt;='작업 관리'!$F40),IF('작업 관리'!$I40="마일스톤",3,IF('작업 관리'!$G40="완료",2,1)),"")</f>
        <v/>
      </c>
    </row>
    <row r="41" spans="1:19" ht="48" customHeight="1">
      <c r="A41" s="38" t="str">
        <f>'작업 관리'!A41</f>
        <v>3.5</v>
      </c>
      <c r="B41" s="17" t="str">
        <f>'작업 관리'!C41</f>
        <v>현금흐름 괴리와 업종 비교 분석</v>
      </c>
      <c r="C41" s="4" t="str">
        <f>'작업 관리'!D41</f>
        <v>김동민</v>
      </c>
      <c r="D41" s="54" t="str">
        <f>IF(AND(D$8&gt;='작업 관리'!$E41,D$8&lt;='작업 관리'!$F41),IF('작업 관리'!$I41="마일스톤",3,IF('작업 관리'!$G41="완료",2,1)),"")</f>
        <v/>
      </c>
      <c r="E41" s="54" t="str">
        <f>IF(AND(E$8&gt;='작업 관리'!$E41,E$8&lt;='작업 관리'!$F41),IF('작업 관리'!$I41="마일스톤",3,IF('작업 관리'!$G41="완료",2,1)),"")</f>
        <v/>
      </c>
      <c r="F41" s="54" t="str">
        <f>IF(AND(F$8&gt;='작업 관리'!$E41,F$8&lt;='작업 관리'!$F41),IF('작업 관리'!$I41="마일스톤",3,IF('작업 관리'!$G41="완료",2,1)),"")</f>
        <v/>
      </c>
      <c r="G41" s="55" t="str">
        <f>IF(AND(G$8&gt;='작업 관리'!$E41,G$8&lt;='작업 관리'!$F41),IF('작업 관리'!$I41="마일스톤",3,IF('작업 관리'!$G41="완료",2,1)),"")</f>
        <v/>
      </c>
      <c r="H41" s="55" t="str">
        <f>IF(AND(H$8&gt;='작업 관리'!$E41,H$8&lt;='작업 관리'!$F41),IF('작업 관리'!$I41="마일스톤",3,IF('작업 관리'!$G41="완료",2,1)),"")</f>
        <v/>
      </c>
      <c r="I41" s="54" t="str">
        <f>IF(AND(I$8&gt;='작업 관리'!$E41,I$8&lt;='작업 관리'!$F41),IF('작업 관리'!$I41="마일스톤",3,IF('작업 관리'!$G41="완료",2,1)),"")</f>
        <v/>
      </c>
      <c r="J41" s="54" t="str">
        <f>IF(AND(J$8&gt;='작업 관리'!$E41,J$8&lt;='작업 관리'!$F41),IF('작업 관리'!$I41="마일스톤",3,IF('작업 관리'!$G41="완료",2,1)),"")</f>
        <v/>
      </c>
      <c r="K41" s="54" t="str">
        <f>IF(AND(K$8&gt;='작업 관리'!$E41,K$8&lt;='작업 관리'!$F41),IF('작업 관리'!$I41="마일스톤",3,IF('작업 관리'!$G41="완료",2,1)),"")</f>
        <v/>
      </c>
      <c r="L41" s="54">
        <f>IF(AND(L$8&gt;='작업 관리'!$E41,L$8&lt;='작업 관리'!$F41),IF('작업 관리'!$I41="마일스톤",3,IF('작업 관리'!$G41="완료",2,1)),"")</f>
        <v>1</v>
      </c>
      <c r="M41" s="54">
        <f>IF(AND(M$8&gt;='작업 관리'!$E41,M$8&lt;='작업 관리'!$F41),IF('작업 관리'!$I41="마일스톤",3,IF('작업 관리'!$G41="완료",2,1)),"")</f>
        <v>1</v>
      </c>
      <c r="N41" s="55" t="str">
        <f>IF(AND(N$8&gt;='작업 관리'!$E41,N$8&lt;='작업 관리'!$F41),IF('작업 관리'!$I41="마일스톤",3,IF('작업 관리'!$G41="완료",2,1)),"")</f>
        <v/>
      </c>
      <c r="O41" s="55" t="str">
        <f>IF(AND(O$8&gt;='작업 관리'!$E41,O$8&lt;='작업 관리'!$F41),IF('작업 관리'!$I41="마일스톤",3,IF('작업 관리'!$G41="완료",2,1)),"")</f>
        <v/>
      </c>
      <c r="P41" s="54" t="str">
        <f>IF(AND(P$8&gt;='작업 관리'!$E41,P$8&lt;='작업 관리'!$F41),IF('작업 관리'!$I41="마일스톤",3,IF('작업 관리'!$G41="완료",2,1)),"")</f>
        <v/>
      </c>
      <c r="Q41" s="54" t="str">
        <f>IF(AND(Q$8&gt;='작업 관리'!$E41,Q$8&lt;='작업 관리'!$F41),IF('작업 관리'!$I41="마일스톤",3,IF('작업 관리'!$G41="완료",2,1)),"")</f>
        <v/>
      </c>
      <c r="R41" s="54" t="str">
        <f>IF(AND(R$8&gt;='작업 관리'!$E41,R$8&lt;='작업 관리'!$F41),IF('작업 관리'!$I41="마일스톤",3,IF('작업 관리'!$G41="완료",2,1)),"")</f>
        <v/>
      </c>
      <c r="S41" s="54" t="str">
        <f>IF(AND(S$8&gt;='작업 관리'!$E41,S$8&lt;='작업 관리'!$F41),IF('작업 관리'!$I41="마일스톤",3,IF('작업 관리'!$G41="완료",2,1)),"")</f>
        <v/>
      </c>
    </row>
    <row r="42" spans="1:19" ht="48" customHeight="1">
      <c r="A42" s="33" t="str">
        <f>'작업 관리'!A42</f>
        <v>3.7</v>
      </c>
      <c r="B42" s="20" t="str">
        <f>'작업 관리'!C42</f>
        <v>핵심 분석과 확인 항목 통합</v>
      </c>
      <c r="C42" s="23" t="str">
        <f>'작업 관리'!D42</f>
        <v>서종원</v>
      </c>
      <c r="D42" s="56" t="str">
        <f>IF(AND(D$8&gt;='작업 관리'!$E42,D$8&lt;='작업 관리'!$F42),IF('작업 관리'!$I42="마일스톤",3,IF('작업 관리'!$G42="완료",2,1)),"")</f>
        <v/>
      </c>
      <c r="E42" s="56" t="str">
        <f>IF(AND(E$8&gt;='작업 관리'!$E42,E$8&lt;='작업 관리'!$F42),IF('작업 관리'!$I42="마일스톤",3,IF('작업 관리'!$G42="완료",2,1)),"")</f>
        <v/>
      </c>
      <c r="F42" s="56" t="str">
        <f>IF(AND(F$8&gt;='작업 관리'!$E42,F$8&lt;='작업 관리'!$F42),IF('작업 관리'!$I42="마일스톤",3,IF('작업 관리'!$G42="완료",2,1)),"")</f>
        <v/>
      </c>
      <c r="G42" s="55" t="str">
        <f>IF(AND(G$8&gt;='작업 관리'!$E42,G$8&lt;='작업 관리'!$F42),IF('작업 관리'!$I42="마일스톤",3,IF('작업 관리'!$G42="완료",2,1)),"")</f>
        <v/>
      </c>
      <c r="H42" s="55" t="str">
        <f>IF(AND(H$8&gt;='작업 관리'!$E42,H$8&lt;='작업 관리'!$F42),IF('작업 관리'!$I42="마일스톤",3,IF('작업 관리'!$G42="완료",2,1)),"")</f>
        <v/>
      </c>
      <c r="I42" s="56" t="str">
        <f>IF(AND(I$8&gt;='작업 관리'!$E42,I$8&lt;='작업 관리'!$F42),IF('작업 관리'!$I42="마일스톤",3,IF('작업 관리'!$G42="완료",2,1)),"")</f>
        <v/>
      </c>
      <c r="J42" s="56" t="str">
        <f>IF(AND(J$8&gt;='작업 관리'!$E42,J$8&lt;='작업 관리'!$F42),IF('작업 관리'!$I42="마일스톤",3,IF('작업 관리'!$G42="완료",2,1)),"")</f>
        <v/>
      </c>
      <c r="K42" s="56" t="str">
        <f>IF(AND(K$8&gt;='작업 관리'!$E42,K$8&lt;='작업 관리'!$F42),IF('작업 관리'!$I42="마일스톤",3,IF('작업 관리'!$G42="완료",2,1)),"")</f>
        <v/>
      </c>
      <c r="L42" s="56">
        <f>IF(AND(L$8&gt;='작업 관리'!$E42,L$8&lt;='작업 관리'!$F42),IF('작업 관리'!$I42="마일스톤",3,IF('작업 관리'!$G42="완료",2,1)),"")</f>
        <v>1</v>
      </c>
      <c r="M42" s="56">
        <f>IF(AND(M$8&gt;='작업 관리'!$E42,M$8&lt;='작업 관리'!$F42),IF('작업 관리'!$I42="마일스톤",3,IF('작업 관리'!$G42="완료",2,1)),"")</f>
        <v>1</v>
      </c>
      <c r="N42" s="55" t="str">
        <f>IF(AND(N$8&gt;='작업 관리'!$E42,N$8&lt;='작업 관리'!$F42),IF('작업 관리'!$I42="마일스톤",3,IF('작업 관리'!$G42="완료",2,1)),"")</f>
        <v/>
      </c>
      <c r="O42" s="55" t="str">
        <f>IF(AND(O$8&gt;='작업 관리'!$E42,O$8&lt;='작업 관리'!$F42),IF('작업 관리'!$I42="마일스톤",3,IF('작업 관리'!$G42="완료",2,1)),"")</f>
        <v/>
      </c>
      <c r="P42" s="56" t="str">
        <f>IF(AND(P$8&gt;='작업 관리'!$E42,P$8&lt;='작업 관리'!$F42),IF('작업 관리'!$I42="마일스톤",3,IF('작업 관리'!$G42="완료",2,1)),"")</f>
        <v/>
      </c>
      <c r="Q42" s="56" t="str">
        <f>IF(AND(Q$8&gt;='작업 관리'!$E42,Q$8&lt;='작업 관리'!$F42),IF('작업 관리'!$I42="마일스톤",3,IF('작업 관리'!$G42="완료",2,1)),"")</f>
        <v/>
      </c>
      <c r="R42" s="56" t="str">
        <f>IF(AND(R$8&gt;='작업 관리'!$E42,R$8&lt;='작업 관리'!$F42),IF('작업 관리'!$I42="마일스톤",3,IF('작업 관리'!$G42="완료",2,1)),"")</f>
        <v/>
      </c>
      <c r="S42" s="56" t="str">
        <f>IF(AND(S$8&gt;='작업 관리'!$E42,S$8&lt;='작업 관리'!$F42),IF('작업 관리'!$I42="마일스톤",3,IF('작업 관리'!$G42="완료",2,1)),"")</f>
        <v/>
      </c>
    </row>
    <row r="43" spans="1:19" ht="48" customHeight="1">
      <c r="A43" s="38" t="str">
        <f>'작업 관리'!A43</f>
        <v>3.M2</v>
      </c>
      <c r="B43" s="17" t="str">
        <f>'작업 관리'!C43</f>
        <v>핵심 재무 기능 통합 완료 판단</v>
      </c>
      <c r="C43" s="4" t="str">
        <f>'작업 관리'!D43</f>
        <v>김동혁</v>
      </c>
      <c r="D43" s="54" t="str">
        <f>IF(AND(D$8&gt;='작업 관리'!$E43,D$8&lt;='작업 관리'!$F43),IF('작업 관리'!$I43="마일스톤",3,IF('작업 관리'!$G43="완료",2,1)),"")</f>
        <v/>
      </c>
      <c r="E43" s="54" t="str">
        <f>IF(AND(E$8&gt;='작업 관리'!$E43,E$8&lt;='작업 관리'!$F43),IF('작업 관리'!$I43="마일스톤",3,IF('작업 관리'!$G43="완료",2,1)),"")</f>
        <v/>
      </c>
      <c r="F43" s="54" t="str">
        <f>IF(AND(F$8&gt;='작업 관리'!$E43,F$8&lt;='작업 관리'!$F43),IF('작업 관리'!$I43="마일스톤",3,IF('작업 관리'!$G43="완료",2,1)),"")</f>
        <v/>
      </c>
      <c r="G43" s="55" t="str">
        <f>IF(AND(G$8&gt;='작업 관리'!$E43,G$8&lt;='작업 관리'!$F43),IF('작업 관리'!$I43="마일스톤",3,IF('작업 관리'!$G43="완료",2,1)),"")</f>
        <v/>
      </c>
      <c r="H43" s="55" t="str">
        <f>IF(AND(H$8&gt;='작업 관리'!$E43,H$8&lt;='작업 관리'!$F43),IF('작업 관리'!$I43="마일스톤",3,IF('작업 관리'!$G43="완료",2,1)),"")</f>
        <v/>
      </c>
      <c r="I43" s="54" t="str">
        <f>IF(AND(I$8&gt;='작업 관리'!$E43,I$8&lt;='작업 관리'!$F43),IF('작업 관리'!$I43="마일스톤",3,IF('작업 관리'!$G43="완료",2,1)),"")</f>
        <v/>
      </c>
      <c r="J43" s="54" t="str">
        <f>IF(AND(J$8&gt;='작업 관리'!$E43,J$8&lt;='작업 관리'!$F43),IF('작업 관리'!$I43="마일스톤",3,IF('작업 관리'!$G43="완료",2,1)),"")</f>
        <v/>
      </c>
      <c r="K43" s="54" t="str">
        <f>IF(AND(K$8&gt;='작업 관리'!$E43,K$8&lt;='작업 관리'!$F43),IF('작업 관리'!$I43="마일스톤",3,IF('작업 관리'!$G43="완료",2,1)),"")</f>
        <v/>
      </c>
      <c r="L43" s="54" t="str">
        <f>IF(AND(L$8&gt;='작업 관리'!$E43,L$8&lt;='작업 관리'!$F43),IF('작업 관리'!$I43="마일스톤",3,IF('작업 관리'!$G43="완료",2,1)),"")</f>
        <v/>
      </c>
      <c r="M43" s="54">
        <f>IF(AND(M$8&gt;='작업 관리'!$E43,M$8&lt;='작업 관리'!$F43),IF('작업 관리'!$I43="마일스톤",3,IF('작업 관리'!$G43="완료",2,1)),"")</f>
        <v>3</v>
      </c>
      <c r="N43" s="55" t="str">
        <f>IF(AND(N$8&gt;='작업 관리'!$E43,N$8&lt;='작업 관리'!$F43),IF('작업 관리'!$I43="마일스톤",3,IF('작업 관리'!$G43="완료",2,1)),"")</f>
        <v/>
      </c>
      <c r="O43" s="55" t="str">
        <f>IF(AND(O$8&gt;='작업 관리'!$E43,O$8&lt;='작업 관리'!$F43),IF('작업 관리'!$I43="마일스톤",3,IF('작업 관리'!$G43="완료",2,1)),"")</f>
        <v/>
      </c>
      <c r="P43" s="54" t="str">
        <f>IF(AND(P$8&gt;='작업 관리'!$E43,P$8&lt;='작업 관리'!$F43),IF('작업 관리'!$I43="마일스톤",3,IF('작업 관리'!$G43="완료",2,1)),"")</f>
        <v/>
      </c>
      <c r="Q43" s="54" t="str">
        <f>IF(AND(Q$8&gt;='작업 관리'!$E43,Q$8&lt;='작업 관리'!$F43),IF('작업 관리'!$I43="마일스톤",3,IF('작업 관리'!$G43="완료",2,1)),"")</f>
        <v/>
      </c>
      <c r="R43" s="54" t="str">
        <f>IF(AND(R$8&gt;='작업 관리'!$E43,R$8&lt;='작업 관리'!$F43),IF('작업 관리'!$I43="마일스톤",3,IF('작업 관리'!$G43="완료",2,1)),"")</f>
        <v/>
      </c>
      <c r="S43" s="54" t="str">
        <f>IF(AND(S$8&gt;='작업 관리'!$E43,S$8&lt;='작업 관리'!$F43),IF('작업 관리'!$I43="마일스톤",3,IF('작업 관리'!$G43="완료",2,1)),"")</f>
        <v/>
      </c>
    </row>
    <row r="44" spans="1:19" ht="48" customHeight="1">
      <c r="A44" s="33" t="str">
        <f>'작업 관리'!A44</f>
        <v>4.1</v>
      </c>
      <c r="B44" s="20" t="str">
        <f>'작업 관리'!C44</f>
        <v>주석 요약 형식과 확인 안내 정의</v>
      </c>
      <c r="C44" s="23" t="str">
        <f>'작업 관리'!D44</f>
        <v>오준탁</v>
      </c>
      <c r="D44" s="56" t="str">
        <f>IF(AND(D$8&gt;='작업 관리'!$E44,D$8&lt;='작업 관리'!$F44),IF('작업 관리'!$I44="마일스톤",3,IF('작업 관리'!$G44="완료",2,1)),"")</f>
        <v/>
      </c>
      <c r="E44" s="56" t="str">
        <f>IF(AND(E$8&gt;='작업 관리'!$E44,E$8&lt;='작업 관리'!$F44),IF('작업 관리'!$I44="마일스톤",3,IF('작업 관리'!$G44="완료",2,1)),"")</f>
        <v/>
      </c>
      <c r="F44" s="56" t="str">
        <f>IF(AND(F$8&gt;='작업 관리'!$E44,F$8&lt;='작업 관리'!$F44),IF('작업 관리'!$I44="마일스톤",3,IF('작업 관리'!$G44="완료",2,1)),"")</f>
        <v/>
      </c>
      <c r="G44" s="55" t="str">
        <f>IF(AND(G$8&gt;='작업 관리'!$E44,G$8&lt;='작업 관리'!$F44),IF('작업 관리'!$I44="마일스톤",3,IF('작업 관리'!$G44="완료",2,1)),"")</f>
        <v/>
      </c>
      <c r="H44" s="55" t="str">
        <f>IF(AND(H$8&gt;='작업 관리'!$E44,H$8&lt;='작업 관리'!$F44),IF('작업 관리'!$I44="마일스톤",3,IF('작업 관리'!$G44="완료",2,1)),"")</f>
        <v/>
      </c>
      <c r="I44" s="56">
        <f>IF(AND(I$8&gt;='작업 관리'!$E44,I$8&lt;='작업 관리'!$F44),IF('작업 관리'!$I44="마일스톤",3,IF('작업 관리'!$G44="완료",2,1)),"")</f>
        <v>1</v>
      </c>
      <c r="J44" s="56" t="str">
        <f>IF(AND(J$8&gt;='작업 관리'!$E44,J$8&lt;='작업 관리'!$F44),IF('작업 관리'!$I44="마일스톤",3,IF('작업 관리'!$G44="완료",2,1)),"")</f>
        <v/>
      </c>
      <c r="K44" s="56" t="str">
        <f>IF(AND(K$8&gt;='작업 관리'!$E44,K$8&lt;='작업 관리'!$F44),IF('작업 관리'!$I44="마일스톤",3,IF('작업 관리'!$G44="완료",2,1)),"")</f>
        <v/>
      </c>
      <c r="L44" s="56" t="str">
        <f>IF(AND(L$8&gt;='작업 관리'!$E44,L$8&lt;='작업 관리'!$F44),IF('작업 관리'!$I44="마일스톤",3,IF('작업 관리'!$G44="완료",2,1)),"")</f>
        <v/>
      </c>
      <c r="M44" s="56" t="str">
        <f>IF(AND(M$8&gt;='작업 관리'!$E44,M$8&lt;='작업 관리'!$F44),IF('작업 관리'!$I44="마일스톤",3,IF('작업 관리'!$G44="완료",2,1)),"")</f>
        <v/>
      </c>
      <c r="N44" s="55" t="str">
        <f>IF(AND(N$8&gt;='작업 관리'!$E44,N$8&lt;='작업 관리'!$F44),IF('작업 관리'!$I44="마일스톤",3,IF('작업 관리'!$G44="완료",2,1)),"")</f>
        <v/>
      </c>
      <c r="O44" s="55" t="str">
        <f>IF(AND(O$8&gt;='작업 관리'!$E44,O$8&lt;='작업 관리'!$F44),IF('작업 관리'!$I44="마일스톤",3,IF('작업 관리'!$G44="완료",2,1)),"")</f>
        <v/>
      </c>
      <c r="P44" s="56" t="str">
        <f>IF(AND(P$8&gt;='작업 관리'!$E44,P$8&lt;='작업 관리'!$F44),IF('작업 관리'!$I44="마일스톤",3,IF('작업 관리'!$G44="완료",2,1)),"")</f>
        <v/>
      </c>
      <c r="Q44" s="56" t="str">
        <f>IF(AND(Q$8&gt;='작업 관리'!$E44,Q$8&lt;='작업 관리'!$F44),IF('작업 관리'!$I44="마일스톤",3,IF('작업 관리'!$G44="완료",2,1)),"")</f>
        <v/>
      </c>
      <c r="R44" s="56" t="str">
        <f>IF(AND(R$8&gt;='작업 관리'!$E44,R$8&lt;='작업 관리'!$F44),IF('작업 관리'!$I44="마일스톤",3,IF('작업 관리'!$G44="완료",2,1)),"")</f>
        <v/>
      </c>
      <c r="S44" s="56" t="str">
        <f>IF(AND(S$8&gt;='작업 관리'!$E44,S$8&lt;='작업 관리'!$F44),IF('작업 관리'!$I44="마일스톤",3,IF('작업 관리'!$G44="완료",2,1)),"")</f>
        <v/>
      </c>
    </row>
    <row r="45" spans="1:19" ht="48" customHeight="1">
      <c r="A45" s="38" t="str">
        <f>'작업 관리'!A45</f>
        <v>4.2</v>
      </c>
      <c r="B45" s="17" t="str">
        <f>'작업 관리'!C45</f>
        <v>주석 위험 항목 추출과 AI 요약</v>
      </c>
      <c r="C45" s="4" t="str">
        <f>'작업 관리'!D45</f>
        <v>김동혁</v>
      </c>
      <c r="D45" s="54" t="str">
        <f>IF(AND(D$8&gt;='작업 관리'!$E45,D$8&lt;='작업 관리'!$F45),IF('작업 관리'!$I45="마일스톤",3,IF('작업 관리'!$G45="완료",2,1)),"")</f>
        <v/>
      </c>
      <c r="E45" s="54" t="str">
        <f>IF(AND(E$8&gt;='작업 관리'!$E45,E$8&lt;='작업 관리'!$F45),IF('작업 관리'!$I45="마일스톤",3,IF('작업 관리'!$G45="완료",2,1)),"")</f>
        <v/>
      </c>
      <c r="F45" s="54" t="str">
        <f>IF(AND(F$8&gt;='작업 관리'!$E45,F$8&lt;='작업 관리'!$F45),IF('작업 관리'!$I45="마일스톤",3,IF('작업 관리'!$G45="완료",2,1)),"")</f>
        <v/>
      </c>
      <c r="G45" s="55" t="str">
        <f>IF(AND(G$8&gt;='작업 관리'!$E45,G$8&lt;='작업 관리'!$F45),IF('작업 관리'!$I45="마일스톤",3,IF('작업 관리'!$G45="완료",2,1)),"")</f>
        <v/>
      </c>
      <c r="H45" s="55" t="str">
        <f>IF(AND(H$8&gt;='작업 관리'!$E45,H$8&lt;='작업 관리'!$F45),IF('작업 관리'!$I45="마일스톤",3,IF('작업 관리'!$G45="완료",2,1)),"")</f>
        <v/>
      </c>
      <c r="I45" s="54">
        <f>IF(AND(I$8&gt;='작업 관리'!$E45,I$8&lt;='작업 관리'!$F45),IF('작업 관리'!$I45="마일스톤",3,IF('작업 관리'!$G45="완료",2,1)),"")</f>
        <v>1</v>
      </c>
      <c r="J45" s="54">
        <f>IF(AND(J$8&gt;='작업 관리'!$E45,J$8&lt;='작업 관리'!$F45),IF('작업 관리'!$I45="마일스톤",3,IF('작업 관리'!$G45="완료",2,1)),"")</f>
        <v>1</v>
      </c>
      <c r="K45" s="54" t="str">
        <f>IF(AND(K$8&gt;='작업 관리'!$E45,K$8&lt;='작업 관리'!$F45),IF('작업 관리'!$I45="마일스톤",3,IF('작업 관리'!$G45="완료",2,1)),"")</f>
        <v/>
      </c>
      <c r="L45" s="54" t="str">
        <f>IF(AND(L$8&gt;='작업 관리'!$E45,L$8&lt;='작업 관리'!$F45),IF('작업 관리'!$I45="마일스톤",3,IF('작업 관리'!$G45="완료",2,1)),"")</f>
        <v/>
      </c>
      <c r="M45" s="54" t="str">
        <f>IF(AND(M$8&gt;='작업 관리'!$E45,M$8&lt;='작업 관리'!$F45),IF('작업 관리'!$I45="마일스톤",3,IF('작업 관리'!$G45="완료",2,1)),"")</f>
        <v/>
      </c>
      <c r="N45" s="55" t="str">
        <f>IF(AND(N$8&gt;='작업 관리'!$E45,N$8&lt;='작업 관리'!$F45),IF('작업 관리'!$I45="마일스톤",3,IF('작업 관리'!$G45="완료",2,1)),"")</f>
        <v/>
      </c>
      <c r="O45" s="55" t="str">
        <f>IF(AND(O$8&gt;='작업 관리'!$E45,O$8&lt;='작업 관리'!$F45),IF('작업 관리'!$I45="마일스톤",3,IF('작업 관리'!$G45="완료",2,1)),"")</f>
        <v/>
      </c>
      <c r="P45" s="54" t="str">
        <f>IF(AND(P$8&gt;='작업 관리'!$E45,P$8&lt;='작업 관리'!$F45),IF('작업 관리'!$I45="마일스톤",3,IF('작업 관리'!$G45="완료",2,1)),"")</f>
        <v/>
      </c>
      <c r="Q45" s="54" t="str">
        <f>IF(AND(Q$8&gt;='작업 관리'!$E45,Q$8&lt;='작업 관리'!$F45),IF('작업 관리'!$I45="마일스톤",3,IF('작업 관리'!$G45="완료",2,1)),"")</f>
        <v/>
      </c>
      <c r="R45" s="54" t="str">
        <f>IF(AND(R$8&gt;='작업 관리'!$E45,R$8&lt;='작업 관리'!$F45),IF('작업 관리'!$I45="마일스톤",3,IF('작업 관리'!$G45="완료",2,1)),"")</f>
        <v/>
      </c>
      <c r="S45" s="54" t="str">
        <f>IF(AND(S$8&gt;='작업 관리'!$E45,S$8&lt;='작업 관리'!$F45),IF('작업 관리'!$I45="마일스톤",3,IF('작업 관리'!$G45="완료",2,1)),"")</f>
        <v/>
      </c>
    </row>
    <row r="46" spans="1:19" ht="48" customHeight="1">
      <c r="A46" s="33" t="str">
        <f>'작업 관리'!A46</f>
        <v>4.8</v>
      </c>
      <c r="B46" s="20" t="str">
        <f>'작업 관리'!C46</f>
        <v>공통 주석 6범주 추출 규칙 구현</v>
      </c>
      <c r="C46" s="23" t="str">
        <f>'작업 관리'!D46</f>
        <v>김동혁</v>
      </c>
      <c r="D46" s="56" t="str">
        <f>IF(AND(D$8&gt;='작업 관리'!$E46,D$8&lt;='작업 관리'!$F46),IF('작업 관리'!$I46="마일스톤",3,IF('작업 관리'!$G46="완료",2,1)),"")</f>
        <v/>
      </c>
      <c r="E46" s="56" t="str">
        <f>IF(AND(E$8&gt;='작업 관리'!$E46,E$8&lt;='작업 관리'!$F46),IF('작업 관리'!$I46="마일스톤",3,IF('작업 관리'!$G46="완료",2,1)),"")</f>
        <v/>
      </c>
      <c r="F46" s="56" t="str">
        <f>IF(AND(F$8&gt;='작업 관리'!$E46,F$8&lt;='작업 관리'!$F46),IF('작업 관리'!$I46="마일스톤",3,IF('작업 관리'!$G46="완료",2,1)),"")</f>
        <v/>
      </c>
      <c r="G46" s="55" t="str">
        <f>IF(AND(G$8&gt;='작업 관리'!$E46,G$8&lt;='작업 관리'!$F46),IF('작업 관리'!$I46="마일스톤",3,IF('작업 관리'!$G46="완료",2,1)),"")</f>
        <v/>
      </c>
      <c r="H46" s="55" t="str">
        <f>IF(AND(H$8&gt;='작업 관리'!$E46,H$8&lt;='작업 관리'!$F46),IF('작업 관리'!$I46="마일스톤",3,IF('작업 관리'!$G46="완료",2,1)),"")</f>
        <v/>
      </c>
      <c r="I46" s="56">
        <f>IF(AND(I$8&gt;='작업 관리'!$E46,I$8&lt;='작업 관리'!$F46),IF('작업 관리'!$I46="마일스톤",3,IF('작업 관리'!$G46="완료",2,1)),"")</f>
        <v>1</v>
      </c>
      <c r="J46" s="56">
        <f>IF(AND(J$8&gt;='작업 관리'!$E46,J$8&lt;='작업 관리'!$F46),IF('작업 관리'!$I46="마일스톤",3,IF('작업 관리'!$G46="완료",2,1)),"")</f>
        <v>1</v>
      </c>
      <c r="K46" s="56" t="str">
        <f>IF(AND(K$8&gt;='작업 관리'!$E46,K$8&lt;='작업 관리'!$F46),IF('작업 관리'!$I46="마일스톤",3,IF('작업 관리'!$G46="완료",2,1)),"")</f>
        <v/>
      </c>
      <c r="L46" s="56" t="str">
        <f>IF(AND(L$8&gt;='작업 관리'!$E46,L$8&lt;='작업 관리'!$F46),IF('작업 관리'!$I46="마일스톤",3,IF('작업 관리'!$G46="완료",2,1)),"")</f>
        <v/>
      </c>
      <c r="M46" s="56" t="str">
        <f>IF(AND(M$8&gt;='작업 관리'!$E46,M$8&lt;='작업 관리'!$F46),IF('작업 관리'!$I46="마일스톤",3,IF('작업 관리'!$G46="완료",2,1)),"")</f>
        <v/>
      </c>
      <c r="N46" s="55" t="str">
        <f>IF(AND(N$8&gt;='작업 관리'!$E46,N$8&lt;='작업 관리'!$F46),IF('작업 관리'!$I46="마일스톤",3,IF('작업 관리'!$G46="완료",2,1)),"")</f>
        <v/>
      </c>
      <c r="O46" s="55" t="str">
        <f>IF(AND(O$8&gt;='작업 관리'!$E46,O$8&lt;='작업 관리'!$F46),IF('작업 관리'!$I46="마일스톤",3,IF('작업 관리'!$G46="완료",2,1)),"")</f>
        <v/>
      </c>
      <c r="P46" s="56" t="str">
        <f>IF(AND(P$8&gt;='작업 관리'!$E46,P$8&lt;='작업 관리'!$F46),IF('작업 관리'!$I46="마일스톤",3,IF('작업 관리'!$G46="완료",2,1)),"")</f>
        <v/>
      </c>
      <c r="Q46" s="56" t="str">
        <f>IF(AND(Q$8&gt;='작업 관리'!$E46,Q$8&lt;='작업 관리'!$F46),IF('작업 관리'!$I46="마일스톤",3,IF('작업 관리'!$G46="완료",2,1)),"")</f>
        <v/>
      </c>
      <c r="R46" s="56" t="str">
        <f>IF(AND(R$8&gt;='작업 관리'!$E46,R$8&lt;='작업 관리'!$F46),IF('작업 관리'!$I46="마일스톤",3,IF('작업 관리'!$G46="완료",2,1)),"")</f>
        <v/>
      </c>
      <c r="S46" s="56" t="str">
        <f>IF(AND(S$8&gt;='작업 관리'!$E46,S$8&lt;='작업 관리'!$F46),IF('작업 관리'!$I46="마일스톤",3,IF('작업 관리'!$G46="완료",2,1)),"")</f>
        <v/>
      </c>
    </row>
    <row r="47" spans="1:19" ht="48" customHeight="1">
      <c r="A47" s="38" t="str">
        <f>'작업 관리'!A47</f>
        <v>4.3</v>
      </c>
      <c r="B47" s="17" t="str">
        <f>'작업 관리'!C47</f>
        <v>뉴스 수집 방식과 후보 기사 확보</v>
      </c>
      <c r="C47" s="4" t="str">
        <f>'작업 관리'!D47</f>
        <v>김동혁</v>
      </c>
      <c r="D47" s="54" t="str">
        <f>IF(AND(D$8&gt;='작업 관리'!$E47,D$8&lt;='작업 관리'!$F47),IF('작업 관리'!$I47="마일스톤",3,IF('작업 관리'!$G47="완료",2,1)),"")</f>
        <v/>
      </c>
      <c r="E47" s="54" t="str">
        <f>IF(AND(E$8&gt;='작업 관리'!$E47,E$8&lt;='작업 관리'!$F47),IF('작업 관리'!$I47="마일스톤",3,IF('작업 관리'!$G47="완료",2,1)),"")</f>
        <v/>
      </c>
      <c r="F47" s="54" t="str">
        <f>IF(AND(F$8&gt;='작업 관리'!$E47,F$8&lt;='작업 관리'!$F47),IF('작업 관리'!$I47="마일스톤",3,IF('작업 관리'!$G47="완료",2,1)),"")</f>
        <v/>
      </c>
      <c r="G47" s="55" t="str">
        <f>IF(AND(G$8&gt;='작업 관리'!$E47,G$8&lt;='작업 관리'!$F47),IF('작업 관리'!$I47="마일스톤",3,IF('작업 관리'!$G47="완료",2,1)),"")</f>
        <v/>
      </c>
      <c r="H47" s="55" t="str">
        <f>IF(AND(H$8&gt;='작업 관리'!$E47,H$8&lt;='작업 관리'!$F47),IF('작업 관리'!$I47="마일스톤",3,IF('작업 관리'!$G47="완료",2,1)),"")</f>
        <v/>
      </c>
      <c r="I47" s="54" t="str">
        <f>IF(AND(I$8&gt;='작업 관리'!$E47,I$8&lt;='작업 관리'!$F47),IF('작업 관리'!$I47="마일스톤",3,IF('작업 관리'!$G47="완료",2,1)),"")</f>
        <v/>
      </c>
      <c r="J47" s="54">
        <f>IF(AND(J$8&gt;='작업 관리'!$E47,J$8&lt;='작업 관리'!$F47),IF('작업 관리'!$I47="마일스톤",3,IF('작업 관리'!$G47="완료",2,1)),"")</f>
        <v>1</v>
      </c>
      <c r="K47" s="54">
        <f>IF(AND(K$8&gt;='작업 관리'!$E47,K$8&lt;='작업 관리'!$F47),IF('작업 관리'!$I47="마일스톤",3,IF('작업 관리'!$G47="완료",2,1)),"")</f>
        <v>1</v>
      </c>
      <c r="L47" s="54" t="str">
        <f>IF(AND(L$8&gt;='작업 관리'!$E47,L$8&lt;='작업 관리'!$F47),IF('작업 관리'!$I47="마일스톤",3,IF('작업 관리'!$G47="완료",2,1)),"")</f>
        <v/>
      </c>
      <c r="M47" s="54" t="str">
        <f>IF(AND(M$8&gt;='작업 관리'!$E47,M$8&lt;='작업 관리'!$F47),IF('작업 관리'!$I47="마일스톤",3,IF('작업 관리'!$G47="완료",2,1)),"")</f>
        <v/>
      </c>
      <c r="N47" s="55" t="str">
        <f>IF(AND(N$8&gt;='작업 관리'!$E47,N$8&lt;='작업 관리'!$F47),IF('작업 관리'!$I47="마일스톤",3,IF('작업 관리'!$G47="완료",2,1)),"")</f>
        <v/>
      </c>
      <c r="O47" s="55" t="str">
        <f>IF(AND(O$8&gt;='작업 관리'!$E47,O$8&lt;='작업 관리'!$F47),IF('작업 관리'!$I47="마일스톤",3,IF('작업 관리'!$G47="완료",2,1)),"")</f>
        <v/>
      </c>
      <c r="P47" s="54" t="str">
        <f>IF(AND(P$8&gt;='작업 관리'!$E47,P$8&lt;='작업 관리'!$F47),IF('작업 관리'!$I47="마일스톤",3,IF('작업 관리'!$G47="완료",2,1)),"")</f>
        <v/>
      </c>
      <c r="Q47" s="54" t="str">
        <f>IF(AND(Q$8&gt;='작업 관리'!$E47,Q$8&lt;='작업 관리'!$F47),IF('작업 관리'!$I47="마일스톤",3,IF('작업 관리'!$G47="완료",2,1)),"")</f>
        <v/>
      </c>
      <c r="R47" s="54" t="str">
        <f>IF(AND(R$8&gt;='작업 관리'!$E47,R$8&lt;='작업 관리'!$F47),IF('작업 관리'!$I47="마일스톤",3,IF('작업 관리'!$G47="완료",2,1)),"")</f>
        <v/>
      </c>
      <c r="S47" s="54" t="str">
        <f>IF(AND(S$8&gt;='작업 관리'!$E47,S$8&lt;='작업 관리'!$F47),IF('작업 관리'!$I47="마일스톤",3,IF('작업 관리'!$G47="완료",2,1)),"")</f>
        <v/>
      </c>
    </row>
    <row r="48" spans="1:19" ht="48" customHeight="1">
      <c r="A48" s="33" t="str">
        <f>'작업 관리'!A48</f>
        <v>4.5</v>
      </c>
      <c r="B48" s="20" t="str">
        <f>'작업 관리'!C48</f>
        <v>AI 요약 원문 대조 검증</v>
      </c>
      <c r="C48" s="23" t="str">
        <f>'작업 관리'!D48</f>
        <v>최수인</v>
      </c>
      <c r="D48" s="56" t="str">
        <f>IF(AND(D$8&gt;='작업 관리'!$E48,D$8&lt;='작업 관리'!$F48),IF('작업 관리'!$I48="마일스톤",3,IF('작업 관리'!$G48="완료",2,1)),"")</f>
        <v/>
      </c>
      <c r="E48" s="56" t="str">
        <f>IF(AND(E$8&gt;='작업 관리'!$E48,E$8&lt;='작업 관리'!$F48),IF('작업 관리'!$I48="마일스톤",3,IF('작업 관리'!$G48="완료",2,1)),"")</f>
        <v/>
      </c>
      <c r="F48" s="56" t="str">
        <f>IF(AND(F$8&gt;='작업 관리'!$E48,F$8&lt;='작업 관리'!$F48),IF('작업 관리'!$I48="마일스톤",3,IF('작업 관리'!$G48="완료",2,1)),"")</f>
        <v/>
      </c>
      <c r="G48" s="55" t="str">
        <f>IF(AND(G$8&gt;='작업 관리'!$E48,G$8&lt;='작업 관리'!$F48),IF('작업 관리'!$I48="마일스톤",3,IF('작업 관리'!$G48="완료",2,1)),"")</f>
        <v/>
      </c>
      <c r="H48" s="55" t="str">
        <f>IF(AND(H$8&gt;='작업 관리'!$E48,H$8&lt;='작업 관리'!$F48),IF('작업 관리'!$I48="마일스톤",3,IF('작업 관리'!$G48="완료",2,1)),"")</f>
        <v/>
      </c>
      <c r="I48" s="56" t="str">
        <f>IF(AND(I$8&gt;='작업 관리'!$E48,I$8&lt;='작업 관리'!$F48),IF('작업 관리'!$I48="마일스톤",3,IF('작업 관리'!$G48="완료",2,1)),"")</f>
        <v/>
      </c>
      <c r="J48" s="56">
        <f>IF(AND(J$8&gt;='작업 관리'!$E48,J$8&lt;='작업 관리'!$F48),IF('작업 관리'!$I48="마일스톤",3,IF('작업 관리'!$G48="완료",2,1)),"")</f>
        <v>1</v>
      </c>
      <c r="K48" s="56">
        <f>IF(AND(K$8&gt;='작업 관리'!$E48,K$8&lt;='작업 관리'!$F48),IF('작업 관리'!$I48="마일스톤",3,IF('작업 관리'!$G48="완료",2,1)),"")</f>
        <v>1</v>
      </c>
      <c r="L48" s="56" t="str">
        <f>IF(AND(L$8&gt;='작업 관리'!$E48,L$8&lt;='작업 관리'!$F48),IF('작업 관리'!$I48="마일스톤",3,IF('작업 관리'!$G48="완료",2,1)),"")</f>
        <v/>
      </c>
      <c r="M48" s="56" t="str">
        <f>IF(AND(M$8&gt;='작업 관리'!$E48,M$8&lt;='작업 관리'!$F48),IF('작업 관리'!$I48="마일스톤",3,IF('작업 관리'!$G48="완료",2,1)),"")</f>
        <v/>
      </c>
      <c r="N48" s="55" t="str">
        <f>IF(AND(N$8&gt;='작업 관리'!$E48,N$8&lt;='작업 관리'!$F48),IF('작업 관리'!$I48="마일스톤",3,IF('작업 관리'!$G48="완료",2,1)),"")</f>
        <v/>
      </c>
      <c r="O48" s="55" t="str">
        <f>IF(AND(O$8&gt;='작업 관리'!$E48,O$8&lt;='작업 관리'!$F48),IF('작업 관리'!$I48="마일스톤",3,IF('작업 관리'!$G48="완료",2,1)),"")</f>
        <v/>
      </c>
      <c r="P48" s="56" t="str">
        <f>IF(AND(P$8&gt;='작업 관리'!$E48,P$8&lt;='작업 관리'!$F48),IF('작업 관리'!$I48="마일스톤",3,IF('작업 관리'!$G48="완료",2,1)),"")</f>
        <v/>
      </c>
      <c r="Q48" s="56" t="str">
        <f>IF(AND(Q$8&gt;='작업 관리'!$E48,Q$8&lt;='작업 관리'!$F48),IF('작업 관리'!$I48="마일스톤",3,IF('작업 관리'!$G48="완료",2,1)),"")</f>
        <v/>
      </c>
      <c r="R48" s="56" t="str">
        <f>IF(AND(R$8&gt;='작업 관리'!$E48,R$8&lt;='작업 관리'!$F48),IF('작업 관리'!$I48="마일스톤",3,IF('작업 관리'!$G48="완료",2,1)),"")</f>
        <v/>
      </c>
      <c r="S48" s="56" t="str">
        <f>IF(AND(S$8&gt;='작업 관리'!$E48,S$8&lt;='작업 관리'!$F48),IF('작업 관리'!$I48="마일스톤",3,IF('작업 관리'!$G48="완료",2,1)),"")</f>
        <v/>
      </c>
    </row>
    <row r="49" spans="1:19" ht="48" customHeight="1">
      <c r="A49" s="38" t="str">
        <f>'작업 관리'!A49</f>
        <v>4.9</v>
      </c>
      <c r="B49" s="17" t="str">
        <f>'작업 관리'!C49</f>
        <v>4개 업종별 주석 추가 추출 규칙 구현</v>
      </c>
      <c r="C49" s="4" t="str">
        <f>'작업 관리'!D49</f>
        <v>김동혁</v>
      </c>
      <c r="D49" s="54" t="str">
        <f>IF(AND(D$8&gt;='작업 관리'!$E49,D$8&lt;='작업 관리'!$F49),IF('작업 관리'!$I49="마일스톤",3,IF('작업 관리'!$G49="완료",2,1)),"")</f>
        <v/>
      </c>
      <c r="E49" s="54" t="str">
        <f>IF(AND(E$8&gt;='작업 관리'!$E49,E$8&lt;='작업 관리'!$F49),IF('작업 관리'!$I49="마일스톤",3,IF('작업 관리'!$G49="완료",2,1)),"")</f>
        <v/>
      </c>
      <c r="F49" s="54" t="str">
        <f>IF(AND(F$8&gt;='작업 관리'!$E49,F$8&lt;='작업 관리'!$F49),IF('작업 관리'!$I49="마일스톤",3,IF('작업 관리'!$G49="완료",2,1)),"")</f>
        <v/>
      </c>
      <c r="G49" s="55" t="str">
        <f>IF(AND(G$8&gt;='작업 관리'!$E49,G$8&lt;='작업 관리'!$F49),IF('작업 관리'!$I49="마일스톤",3,IF('작업 관리'!$G49="완료",2,1)),"")</f>
        <v/>
      </c>
      <c r="H49" s="55" t="str">
        <f>IF(AND(H$8&gt;='작업 관리'!$E49,H$8&lt;='작업 관리'!$F49),IF('작업 관리'!$I49="마일스톤",3,IF('작업 관리'!$G49="완료",2,1)),"")</f>
        <v/>
      </c>
      <c r="I49" s="54" t="str">
        <f>IF(AND(I$8&gt;='작업 관리'!$E49,I$8&lt;='작업 관리'!$F49),IF('작업 관리'!$I49="마일스톤",3,IF('작업 관리'!$G49="완료",2,1)),"")</f>
        <v/>
      </c>
      <c r="J49" s="54">
        <f>IF(AND(J$8&gt;='작업 관리'!$E49,J$8&lt;='작업 관리'!$F49),IF('작업 관리'!$I49="마일스톤",3,IF('작업 관리'!$G49="완료",2,1)),"")</f>
        <v>1</v>
      </c>
      <c r="K49" s="54">
        <f>IF(AND(K$8&gt;='작업 관리'!$E49,K$8&lt;='작업 관리'!$F49),IF('작업 관리'!$I49="마일스톤",3,IF('작업 관리'!$G49="완료",2,1)),"")</f>
        <v>1</v>
      </c>
      <c r="L49" s="54" t="str">
        <f>IF(AND(L$8&gt;='작업 관리'!$E49,L$8&lt;='작업 관리'!$F49),IF('작업 관리'!$I49="마일스톤",3,IF('작업 관리'!$G49="완료",2,1)),"")</f>
        <v/>
      </c>
      <c r="M49" s="54" t="str">
        <f>IF(AND(M$8&gt;='작업 관리'!$E49,M$8&lt;='작업 관리'!$F49),IF('작업 관리'!$I49="마일스톤",3,IF('작업 관리'!$G49="완료",2,1)),"")</f>
        <v/>
      </c>
      <c r="N49" s="55" t="str">
        <f>IF(AND(N$8&gt;='작업 관리'!$E49,N$8&lt;='작업 관리'!$F49),IF('작업 관리'!$I49="마일스톤",3,IF('작업 관리'!$G49="완료",2,1)),"")</f>
        <v/>
      </c>
      <c r="O49" s="55" t="str">
        <f>IF(AND(O$8&gt;='작업 관리'!$E49,O$8&lt;='작업 관리'!$F49),IF('작업 관리'!$I49="마일스톤",3,IF('작업 관리'!$G49="완료",2,1)),"")</f>
        <v/>
      </c>
      <c r="P49" s="54" t="str">
        <f>IF(AND(P$8&gt;='작업 관리'!$E49,P$8&lt;='작업 관리'!$F49),IF('작업 관리'!$I49="마일스톤",3,IF('작업 관리'!$G49="완료",2,1)),"")</f>
        <v/>
      </c>
      <c r="Q49" s="54" t="str">
        <f>IF(AND(Q$8&gt;='작업 관리'!$E49,Q$8&lt;='작업 관리'!$F49),IF('작업 관리'!$I49="마일스톤",3,IF('작업 관리'!$G49="완료",2,1)),"")</f>
        <v/>
      </c>
      <c r="R49" s="54" t="str">
        <f>IF(AND(R$8&gt;='작업 관리'!$E49,R$8&lt;='작업 관리'!$F49),IF('작업 관리'!$I49="마일스톤",3,IF('작업 관리'!$G49="완료",2,1)),"")</f>
        <v/>
      </c>
      <c r="S49" s="54" t="str">
        <f>IF(AND(S$8&gt;='작업 관리'!$E49,S$8&lt;='작업 관리'!$F49),IF('작업 관리'!$I49="마일스톤",3,IF('작업 관리'!$G49="완료",2,1)),"")</f>
        <v/>
      </c>
    </row>
    <row r="50" spans="1:19" ht="48" customHeight="1">
      <c r="A50" s="33" t="str">
        <f>'작업 관리'!A50</f>
        <v>4.4</v>
      </c>
      <c r="B50" s="20" t="str">
        <f>'작업 관리'!C50</f>
        <v>뉴스 관련성과 누락 정답지</v>
      </c>
      <c r="C50" s="23" t="str">
        <f>'작업 관리'!D50</f>
        <v>최수인</v>
      </c>
      <c r="D50" s="56" t="str">
        <f>IF(AND(D$8&gt;='작업 관리'!$E50,D$8&lt;='작업 관리'!$F50),IF('작업 관리'!$I50="마일스톤",3,IF('작업 관리'!$G50="완료",2,1)),"")</f>
        <v/>
      </c>
      <c r="E50" s="56" t="str">
        <f>IF(AND(E$8&gt;='작업 관리'!$E50,E$8&lt;='작업 관리'!$F50),IF('작업 관리'!$I50="마일스톤",3,IF('작업 관리'!$G50="완료",2,1)),"")</f>
        <v/>
      </c>
      <c r="F50" s="56" t="str">
        <f>IF(AND(F$8&gt;='작업 관리'!$E50,F$8&lt;='작업 관리'!$F50),IF('작업 관리'!$I50="마일스톤",3,IF('작업 관리'!$G50="완료",2,1)),"")</f>
        <v/>
      </c>
      <c r="G50" s="55" t="str">
        <f>IF(AND(G$8&gt;='작업 관리'!$E50,G$8&lt;='작업 관리'!$F50),IF('작업 관리'!$I50="마일스톤",3,IF('작업 관리'!$G50="완료",2,1)),"")</f>
        <v/>
      </c>
      <c r="H50" s="55" t="str">
        <f>IF(AND(H$8&gt;='작업 관리'!$E50,H$8&lt;='작업 관리'!$F50),IF('작업 관리'!$I50="마일스톤",3,IF('작업 관리'!$G50="완료",2,1)),"")</f>
        <v/>
      </c>
      <c r="I50" s="56" t="str">
        <f>IF(AND(I$8&gt;='작업 관리'!$E50,I$8&lt;='작업 관리'!$F50),IF('작업 관리'!$I50="마일스톤",3,IF('작업 관리'!$G50="완료",2,1)),"")</f>
        <v/>
      </c>
      <c r="J50" s="56" t="str">
        <f>IF(AND(J$8&gt;='작업 관리'!$E50,J$8&lt;='작업 관리'!$F50),IF('작업 관리'!$I50="마일스톤",3,IF('작업 관리'!$G50="완료",2,1)),"")</f>
        <v/>
      </c>
      <c r="K50" s="56" t="str">
        <f>IF(AND(K$8&gt;='작업 관리'!$E50,K$8&lt;='작업 관리'!$F50),IF('작업 관리'!$I50="마일스톤",3,IF('작업 관리'!$G50="완료",2,1)),"")</f>
        <v/>
      </c>
      <c r="L50" s="56">
        <f>IF(AND(L$8&gt;='작업 관리'!$E50,L$8&lt;='작업 관리'!$F50),IF('작업 관리'!$I50="마일스톤",3,IF('작업 관리'!$G50="완료",2,1)),"")</f>
        <v>1</v>
      </c>
      <c r="M50" s="56" t="str">
        <f>IF(AND(M$8&gt;='작업 관리'!$E50,M$8&lt;='작업 관리'!$F50),IF('작업 관리'!$I50="마일스톤",3,IF('작업 관리'!$G50="완료",2,1)),"")</f>
        <v/>
      </c>
      <c r="N50" s="55" t="str">
        <f>IF(AND(N$8&gt;='작업 관리'!$E50,N$8&lt;='작업 관리'!$F50),IF('작업 관리'!$I50="마일스톤",3,IF('작업 관리'!$G50="완료",2,1)),"")</f>
        <v/>
      </c>
      <c r="O50" s="55" t="str">
        <f>IF(AND(O$8&gt;='작업 관리'!$E50,O$8&lt;='작업 관리'!$F50),IF('작업 관리'!$I50="마일스톤",3,IF('작업 관리'!$G50="완료",2,1)),"")</f>
        <v/>
      </c>
      <c r="P50" s="56" t="str">
        <f>IF(AND(P$8&gt;='작업 관리'!$E50,P$8&lt;='작업 관리'!$F50),IF('작업 관리'!$I50="마일스톤",3,IF('작업 관리'!$G50="완료",2,1)),"")</f>
        <v/>
      </c>
      <c r="Q50" s="56" t="str">
        <f>IF(AND(Q$8&gt;='작업 관리'!$E50,Q$8&lt;='작업 관리'!$F50),IF('작업 관리'!$I50="마일스톤",3,IF('작업 관리'!$G50="완료",2,1)),"")</f>
        <v/>
      </c>
      <c r="R50" s="56" t="str">
        <f>IF(AND(R$8&gt;='작업 관리'!$E50,R$8&lt;='작업 관리'!$F50),IF('작업 관리'!$I50="마일스톤",3,IF('작업 관리'!$G50="완료",2,1)),"")</f>
        <v/>
      </c>
      <c r="S50" s="56" t="str">
        <f>IF(AND(S$8&gt;='작업 관리'!$E50,S$8&lt;='작업 관리'!$F50),IF('작업 관리'!$I50="마일스톤",3,IF('작업 관리'!$G50="완료",2,1)),"")</f>
        <v/>
      </c>
    </row>
    <row r="51" spans="1:19" ht="48" customHeight="1">
      <c r="A51" s="38" t="str">
        <f>'작업 관리'!A51</f>
        <v>4.6</v>
      </c>
      <c r="B51" s="17" t="str">
        <f>'작업 관리'!C51</f>
        <v>주석 요약과 원문 근거 화면 연결</v>
      </c>
      <c r="C51" s="4" t="str">
        <f>'작업 관리'!D51</f>
        <v>서종원</v>
      </c>
      <c r="D51" s="54" t="str">
        <f>IF(AND(D$8&gt;='작업 관리'!$E51,D$8&lt;='작업 관리'!$F51),IF('작업 관리'!$I51="마일스톤",3,IF('작업 관리'!$G51="완료",2,1)),"")</f>
        <v/>
      </c>
      <c r="E51" s="54" t="str">
        <f>IF(AND(E$8&gt;='작업 관리'!$E51,E$8&lt;='작업 관리'!$F51),IF('작업 관리'!$I51="마일스톤",3,IF('작업 관리'!$G51="완료",2,1)),"")</f>
        <v/>
      </c>
      <c r="F51" s="54" t="str">
        <f>IF(AND(F$8&gt;='작업 관리'!$E51,F$8&lt;='작업 관리'!$F51),IF('작업 관리'!$I51="마일스톤",3,IF('작업 관리'!$G51="완료",2,1)),"")</f>
        <v/>
      </c>
      <c r="G51" s="55" t="str">
        <f>IF(AND(G$8&gt;='작업 관리'!$E51,G$8&lt;='작업 관리'!$F51),IF('작업 관리'!$I51="마일스톤",3,IF('작업 관리'!$G51="완료",2,1)),"")</f>
        <v/>
      </c>
      <c r="H51" s="55" t="str">
        <f>IF(AND(H$8&gt;='작업 관리'!$E51,H$8&lt;='작업 관리'!$F51),IF('작업 관리'!$I51="마일스톤",3,IF('작업 관리'!$G51="완료",2,1)),"")</f>
        <v/>
      </c>
      <c r="I51" s="54" t="str">
        <f>IF(AND(I$8&gt;='작업 관리'!$E51,I$8&lt;='작업 관리'!$F51),IF('작업 관리'!$I51="마일스톤",3,IF('작업 관리'!$G51="완료",2,1)),"")</f>
        <v/>
      </c>
      <c r="J51" s="54" t="str">
        <f>IF(AND(J$8&gt;='작업 관리'!$E51,J$8&lt;='작업 관리'!$F51),IF('작업 관리'!$I51="마일스톤",3,IF('작업 관리'!$G51="완료",2,1)),"")</f>
        <v/>
      </c>
      <c r="K51" s="54" t="str">
        <f>IF(AND(K$8&gt;='작업 관리'!$E51,K$8&lt;='작업 관리'!$F51),IF('작업 관리'!$I51="마일스톤",3,IF('작업 관리'!$G51="완료",2,1)),"")</f>
        <v/>
      </c>
      <c r="L51" s="54">
        <f>IF(AND(L$8&gt;='작업 관리'!$E51,L$8&lt;='작업 관리'!$F51),IF('작업 관리'!$I51="마일스톤",3,IF('작업 관리'!$G51="완료",2,1)),"")</f>
        <v>1</v>
      </c>
      <c r="M51" s="54">
        <f>IF(AND(M$8&gt;='작업 관리'!$E51,M$8&lt;='작업 관리'!$F51),IF('작업 관리'!$I51="마일스톤",3,IF('작업 관리'!$G51="완료",2,1)),"")</f>
        <v>1</v>
      </c>
      <c r="N51" s="55" t="str">
        <f>IF(AND(N$8&gt;='작업 관리'!$E51,N$8&lt;='작업 관리'!$F51),IF('작업 관리'!$I51="마일스톤",3,IF('작업 관리'!$G51="완료",2,1)),"")</f>
        <v/>
      </c>
      <c r="O51" s="55" t="str">
        <f>IF(AND(O$8&gt;='작업 관리'!$E51,O$8&lt;='작업 관리'!$F51),IF('작업 관리'!$I51="마일스톤",3,IF('작업 관리'!$G51="완료",2,1)),"")</f>
        <v/>
      </c>
      <c r="P51" s="54" t="str">
        <f>IF(AND(P$8&gt;='작업 관리'!$E51,P$8&lt;='작업 관리'!$F51),IF('작업 관리'!$I51="마일스톤",3,IF('작업 관리'!$G51="완료",2,1)),"")</f>
        <v/>
      </c>
      <c r="Q51" s="54" t="str">
        <f>IF(AND(Q$8&gt;='작업 관리'!$E51,Q$8&lt;='작업 관리'!$F51),IF('작업 관리'!$I51="마일스톤",3,IF('작업 관리'!$G51="완료",2,1)),"")</f>
        <v/>
      </c>
      <c r="R51" s="54" t="str">
        <f>IF(AND(R$8&gt;='작업 관리'!$E51,R$8&lt;='작업 관리'!$F51),IF('작업 관리'!$I51="마일스톤",3,IF('작업 관리'!$G51="완료",2,1)),"")</f>
        <v/>
      </c>
      <c r="S51" s="54" t="str">
        <f>IF(AND(S$8&gt;='작업 관리'!$E51,S$8&lt;='작업 관리'!$F51),IF('작업 관리'!$I51="마일스톤",3,IF('작업 관리'!$G51="완료",2,1)),"")</f>
        <v/>
      </c>
    </row>
    <row r="52" spans="1:19" ht="48" customHeight="1">
      <c r="A52" s="33" t="str">
        <f>'작업 관리'!A52</f>
        <v>4.10</v>
      </c>
      <c r="B52" s="20" t="str">
        <f>'작업 관리'!C52</f>
        <v>업종별 추출 정밀도·재현율·미검출 원인 검수</v>
      </c>
      <c r="C52" s="23" t="str">
        <f>'작업 관리'!D52</f>
        <v>최수인</v>
      </c>
      <c r="D52" s="56" t="str">
        <f>IF(AND(D$8&gt;='작업 관리'!$E52,D$8&lt;='작업 관리'!$F52),IF('작업 관리'!$I52="마일스톤",3,IF('작업 관리'!$G52="완료",2,1)),"")</f>
        <v/>
      </c>
      <c r="E52" s="56" t="str">
        <f>IF(AND(E$8&gt;='작업 관리'!$E52,E$8&lt;='작업 관리'!$F52),IF('작업 관리'!$I52="마일스톤",3,IF('작업 관리'!$G52="완료",2,1)),"")</f>
        <v/>
      </c>
      <c r="F52" s="56" t="str">
        <f>IF(AND(F$8&gt;='작업 관리'!$E52,F$8&lt;='작업 관리'!$F52),IF('작업 관리'!$I52="마일스톤",3,IF('작업 관리'!$G52="완료",2,1)),"")</f>
        <v/>
      </c>
      <c r="G52" s="55" t="str">
        <f>IF(AND(G$8&gt;='작업 관리'!$E52,G$8&lt;='작업 관리'!$F52),IF('작업 관리'!$I52="마일스톤",3,IF('작업 관리'!$G52="완료",2,1)),"")</f>
        <v/>
      </c>
      <c r="H52" s="55" t="str">
        <f>IF(AND(H$8&gt;='작업 관리'!$E52,H$8&lt;='작업 관리'!$F52),IF('작업 관리'!$I52="마일스톤",3,IF('작업 관리'!$G52="완료",2,1)),"")</f>
        <v/>
      </c>
      <c r="I52" s="56" t="str">
        <f>IF(AND(I$8&gt;='작업 관리'!$E52,I$8&lt;='작업 관리'!$F52),IF('작업 관리'!$I52="마일스톤",3,IF('작업 관리'!$G52="완료",2,1)),"")</f>
        <v/>
      </c>
      <c r="J52" s="56" t="str">
        <f>IF(AND(J$8&gt;='작업 관리'!$E52,J$8&lt;='작업 관리'!$F52),IF('작업 관리'!$I52="마일스톤",3,IF('작업 관리'!$G52="완료",2,1)),"")</f>
        <v/>
      </c>
      <c r="K52" s="56" t="str">
        <f>IF(AND(K$8&gt;='작업 관리'!$E52,K$8&lt;='작업 관리'!$F52),IF('작업 관리'!$I52="마일스톤",3,IF('작업 관리'!$G52="완료",2,1)),"")</f>
        <v/>
      </c>
      <c r="L52" s="56">
        <f>IF(AND(L$8&gt;='작업 관리'!$E52,L$8&lt;='작업 관리'!$F52),IF('작업 관리'!$I52="마일스톤",3,IF('작업 관리'!$G52="완료",2,1)),"")</f>
        <v>1</v>
      </c>
      <c r="M52" s="56">
        <f>IF(AND(M$8&gt;='작업 관리'!$E52,M$8&lt;='작업 관리'!$F52),IF('작업 관리'!$I52="마일스톤",3,IF('작업 관리'!$G52="완료",2,1)),"")</f>
        <v>1</v>
      </c>
      <c r="N52" s="55" t="str">
        <f>IF(AND(N$8&gt;='작업 관리'!$E52,N$8&lt;='작업 관리'!$F52),IF('작업 관리'!$I52="마일스톤",3,IF('작업 관리'!$G52="완료",2,1)),"")</f>
        <v/>
      </c>
      <c r="O52" s="55" t="str">
        <f>IF(AND(O$8&gt;='작업 관리'!$E52,O$8&lt;='작업 관리'!$F52),IF('작업 관리'!$I52="마일스톤",3,IF('작업 관리'!$G52="완료",2,1)),"")</f>
        <v/>
      </c>
      <c r="P52" s="56" t="str">
        <f>IF(AND(P$8&gt;='작업 관리'!$E52,P$8&lt;='작업 관리'!$F52),IF('작업 관리'!$I52="마일스톤",3,IF('작업 관리'!$G52="완료",2,1)),"")</f>
        <v/>
      </c>
      <c r="Q52" s="56" t="str">
        <f>IF(AND(Q$8&gt;='작업 관리'!$E52,Q$8&lt;='작업 관리'!$F52),IF('작업 관리'!$I52="마일스톤",3,IF('작업 관리'!$G52="완료",2,1)),"")</f>
        <v/>
      </c>
      <c r="R52" s="56" t="str">
        <f>IF(AND(R$8&gt;='작업 관리'!$E52,R$8&lt;='작업 관리'!$F52),IF('작업 관리'!$I52="마일스톤",3,IF('작업 관리'!$G52="완료",2,1)),"")</f>
        <v/>
      </c>
      <c r="S52" s="56" t="str">
        <f>IF(AND(S$8&gt;='작업 관리'!$E52,S$8&lt;='작업 관리'!$F52),IF('작업 관리'!$I52="마일스톤",3,IF('작업 관리'!$G52="완료",2,1)),"")</f>
        <v/>
      </c>
    </row>
    <row r="53" spans="1:19" ht="48" customHeight="1">
      <c r="A53" s="38" t="str">
        <f>'작업 관리'!A53</f>
        <v>4.7</v>
      </c>
      <c r="B53" s="17" t="str">
        <f>'작업 관리'!C53</f>
        <v>관련 뉴스 요약과 원문 링크 보완</v>
      </c>
      <c r="C53" s="4" t="str">
        <f>'작업 관리'!D53</f>
        <v>서종원</v>
      </c>
      <c r="D53" s="54" t="str">
        <f>IF(AND(D$8&gt;='작업 관리'!$E53,D$8&lt;='작업 관리'!$F53),IF('작업 관리'!$I53="마일스톤",3,IF('작업 관리'!$G53="완료",2,1)),"")</f>
        <v/>
      </c>
      <c r="E53" s="54" t="str">
        <f>IF(AND(E$8&gt;='작업 관리'!$E53,E$8&lt;='작업 관리'!$F53),IF('작업 관리'!$I53="마일스톤",3,IF('작업 관리'!$G53="완료",2,1)),"")</f>
        <v/>
      </c>
      <c r="F53" s="54" t="str">
        <f>IF(AND(F$8&gt;='작업 관리'!$E53,F$8&lt;='작업 관리'!$F53),IF('작업 관리'!$I53="마일스톤",3,IF('작업 관리'!$G53="완료",2,1)),"")</f>
        <v/>
      </c>
      <c r="G53" s="55" t="str">
        <f>IF(AND(G$8&gt;='작업 관리'!$E53,G$8&lt;='작업 관리'!$F53),IF('작업 관리'!$I53="마일스톤",3,IF('작업 관리'!$G53="완료",2,1)),"")</f>
        <v/>
      </c>
      <c r="H53" s="55" t="str">
        <f>IF(AND(H$8&gt;='작업 관리'!$E53,H$8&lt;='작업 관리'!$F53),IF('작업 관리'!$I53="마일스톤",3,IF('작업 관리'!$G53="완료",2,1)),"")</f>
        <v/>
      </c>
      <c r="I53" s="54" t="str">
        <f>IF(AND(I$8&gt;='작업 관리'!$E53,I$8&lt;='작업 관리'!$F53),IF('작업 관리'!$I53="마일스톤",3,IF('작업 관리'!$G53="완료",2,1)),"")</f>
        <v/>
      </c>
      <c r="J53" s="54" t="str">
        <f>IF(AND(J$8&gt;='작업 관리'!$E53,J$8&lt;='작업 관리'!$F53),IF('작업 관리'!$I53="마일스톤",3,IF('작업 관리'!$G53="완료",2,1)),"")</f>
        <v/>
      </c>
      <c r="K53" s="54" t="str">
        <f>IF(AND(K$8&gt;='작업 관리'!$E53,K$8&lt;='작업 관리'!$F53),IF('작업 관리'!$I53="마일스톤",3,IF('작업 관리'!$G53="완료",2,1)),"")</f>
        <v/>
      </c>
      <c r="L53" s="54" t="str">
        <f>IF(AND(L$8&gt;='작업 관리'!$E53,L$8&lt;='작업 관리'!$F53),IF('작업 관리'!$I53="마일스톤",3,IF('작업 관리'!$G53="완료",2,1)),"")</f>
        <v/>
      </c>
      <c r="M53" s="54">
        <f>IF(AND(M$8&gt;='작업 관리'!$E53,M$8&lt;='작업 관리'!$F53),IF('작업 관리'!$I53="마일스톤",3,IF('작업 관리'!$G53="완료",2,1)),"")</f>
        <v>1</v>
      </c>
      <c r="N53" s="55" t="str">
        <f>IF(AND(N$8&gt;='작업 관리'!$E53,N$8&lt;='작업 관리'!$F53),IF('작업 관리'!$I53="마일스톤",3,IF('작업 관리'!$G53="완료",2,1)),"")</f>
        <v/>
      </c>
      <c r="O53" s="55" t="str">
        <f>IF(AND(O$8&gt;='작업 관리'!$E53,O$8&lt;='작업 관리'!$F53),IF('작업 관리'!$I53="마일스톤",3,IF('작업 관리'!$G53="완료",2,1)),"")</f>
        <v/>
      </c>
      <c r="P53" s="54" t="str">
        <f>IF(AND(P$8&gt;='작업 관리'!$E53,P$8&lt;='작업 관리'!$F53),IF('작업 관리'!$I53="마일스톤",3,IF('작업 관리'!$G53="완료",2,1)),"")</f>
        <v/>
      </c>
      <c r="Q53" s="54" t="str">
        <f>IF(AND(Q$8&gt;='작업 관리'!$E53,Q$8&lt;='작업 관리'!$F53),IF('작업 관리'!$I53="마일스톤",3,IF('작업 관리'!$G53="완료",2,1)),"")</f>
        <v/>
      </c>
      <c r="R53" s="54" t="str">
        <f>IF(AND(R$8&gt;='작업 관리'!$E53,R$8&lt;='작업 관리'!$F53),IF('작업 관리'!$I53="마일스톤",3,IF('작업 관리'!$G53="완료",2,1)),"")</f>
        <v/>
      </c>
      <c r="S53" s="54" t="str">
        <f>IF(AND(S$8&gt;='작업 관리'!$E53,S$8&lt;='작업 관리'!$F53),IF('작업 관리'!$I53="마일스톤",3,IF('작업 관리'!$G53="완료",2,1)),"")</f>
        <v/>
      </c>
    </row>
    <row r="54" spans="1:19" ht="48" customHeight="1">
      <c r="A54" s="33" t="str">
        <f>'작업 관리'!A54</f>
        <v>4.M3</v>
      </c>
      <c r="B54" s="20" t="str">
        <f>'작업 관리'!C54</f>
        <v>주석 요약 검증과 제공 형식 확정</v>
      </c>
      <c r="C54" s="23" t="str">
        <f>'작업 관리'!D54</f>
        <v>김동혁</v>
      </c>
      <c r="D54" s="56" t="str">
        <f>IF(AND(D$8&gt;='작업 관리'!$E54,D$8&lt;='작업 관리'!$F54),IF('작업 관리'!$I54="마일스톤",3,IF('작업 관리'!$G54="완료",2,1)),"")</f>
        <v/>
      </c>
      <c r="E54" s="56" t="str">
        <f>IF(AND(E$8&gt;='작업 관리'!$E54,E$8&lt;='작업 관리'!$F54),IF('작업 관리'!$I54="마일스톤",3,IF('작업 관리'!$G54="완료",2,1)),"")</f>
        <v/>
      </c>
      <c r="F54" s="56" t="str">
        <f>IF(AND(F$8&gt;='작업 관리'!$E54,F$8&lt;='작업 관리'!$F54),IF('작업 관리'!$I54="마일스톤",3,IF('작업 관리'!$G54="완료",2,1)),"")</f>
        <v/>
      </c>
      <c r="G54" s="55" t="str">
        <f>IF(AND(G$8&gt;='작업 관리'!$E54,G$8&lt;='작업 관리'!$F54),IF('작업 관리'!$I54="마일스톤",3,IF('작업 관리'!$G54="완료",2,1)),"")</f>
        <v/>
      </c>
      <c r="H54" s="55" t="str">
        <f>IF(AND(H$8&gt;='작업 관리'!$E54,H$8&lt;='작업 관리'!$F54),IF('작업 관리'!$I54="마일스톤",3,IF('작업 관리'!$G54="완료",2,1)),"")</f>
        <v/>
      </c>
      <c r="I54" s="56" t="str">
        <f>IF(AND(I$8&gt;='작업 관리'!$E54,I$8&lt;='작업 관리'!$F54),IF('작업 관리'!$I54="마일스톤",3,IF('작업 관리'!$G54="완료",2,1)),"")</f>
        <v/>
      </c>
      <c r="J54" s="56" t="str">
        <f>IF(AND(J$8&gt;='작업 관리'!$E54,J$8&lt;='작업 관리'!$F54),IF('작업 관리'!$I54="마일스톤",3,IF('작업 관리'!$G54="완료",2,1)),"")</f>
        <v/>
      </c>
      <c r="K54" s="56" t="str">
        <f>IF(AND(K$8&gt;='작업 관리'!$E54,K$8&lt;='작업 관리'!$F54),IF('작업 관리'!$I54="마일스톤",3,IF('작업 관리'!$G54="완료",2,1)),"")</f>
        <v/>
      </c>
      <c r="L54" s="56" t="str">
        <f>IF(AND(L$8&gt;='작업 관리'!$E54,L$8&lt;='작업 관리'!$F54),IF('작업 관리'!$I54="마일스톤",3,IF('작업 관리'!$G54="완료",2,1)),"")</f>
        <v/>
      </c>
      <c r="M54" s="56">
        <f>IF(AND(M$8&gt;='작업 관리'!$E54,M$8&lt;='작업 관리'!$F54),IF('작업 관리'!$I54="마일스톤",3,IF('작업 관리'!$G54="완료",2,1)),"")</f>
        <v>3</v>
      </c>
      <c r="N54" s="55" t="str">
        <f>IF(AND(N$8&gt;='작업 관리'!$E54,N$8&lt;='작업 관리'!$F54),IF('작업 관리'!$I54="마일스톤",3,IF('작업 관리'!$G54="완료",2,1)),"")</f>
        <v/>
      </c>
      <c r="O54" s="55" t="str">
        <f>IF(AND(O$8&gt;='작업 관리'!$E54,O$8&lt;='작업 관리'!$F54),IF('작업 관리'!$I54="마일스톤",3,IF('작업 관리'!$G54="완료",2,1)),"")</f>
        <v/>
      </c>
      <c r="P54" s="56" t="str">
        <f>IF(AND(P$8&gt;='작업 관리'!$E54,P$8&lt;='작업 관리'!$F54),IF('작업 관리'!$I54="마일스톤",3,IF('작업 관리'!$G54="완료",2,1)),"")</f>
        <v/>
      </c>
      <c r="Q54" s="56" t="str">
        <f>IF(AND(Q$8&gt;='작업 관리'!$E54,Q$8&lt;='작업 관리'!$F54),IF('작업 관리'!$I54="마일스톤",3,IF('작업 관리'!$G54="완료",2,1)),"")</f>
        <v/>
      </c>
      <c r="R54" s="56" t="str">
        <f>IF(AND(R$8&gt;='작업 관리'!$E54,R$8&lt;='작업 관리'!$F54),IF('작업 관리'!$I54="마일스톤",3,IF('작업 관리'!$G54="완료",2,1)),"")</f>
        <v/>
      </c>
      <c r="S54" s="56" t="str">
        <f>IF(AND(S$8&gt;='작업 관리'!$E54,S$8&lt;='작업 관리'!$F54),IF('작업 관리'!$I54="마일스톤",3,IF('작업 관리'!$G54="완료",2,1)),"")</f>
        <v/>
      </c>
    </row>
    <row r="55" spans="1:19" ht="48" customHeight="1">
      <c r="A55" s="38" t="str">
        <f>'작업 관리'!A55</f>
        <v>7.1</v>
      </c>
      <c r="B55" s="17" t="str">
        <f>'작업 관리'!C55</f>
        <v>재무지표 기준 모델 학습</v>
      </c>
      <c r="C55" s="4" t="str">
        <f>'작업 관리'!D55</f>
        <v>김동민</v>
      </c>
      <c r="D55" s="54" t="str">
        <f>IF(AND(D$8&gt;='작업 관리'!$E55,D$8&lt;='작업 관리'!$F55),IF('작업 관리'!$I55="마일스톤",3,IF('작업 관리'!$G55="완료",2,1)),"")</f>
        <v/>
      </c>
      <c r="E55" s="54" t="str">
        <f>IF(AND(E$8&gt;='작업 관리'!$E55,E$8&lt;='작업 관리'!$F55),IF('작업 관리'!$I55="마일스톤",3,IF('작업 관리'!$G55="완료",2,1)),"")</f>
        <v/>
      </c>
      <c r="F55" s="54" t="str">
        <f>IF(AND(F$8&gt;='작업 관리'!$E55,F$8&lt;='작업 관리'!$F55),IF('작업 관리'!$I55="마일스톤",3,IF('작업 관리'!$G55="완료",2,1)),"")</f>
        <v/>
      </c>
      <c r="G55" s="55" t="str">
        <f>IF(AND(G$8&gt;='작업 관리'!$E55,G$8&lt;='작업 관리'!$F55),IF('작업 관리'!$I55="마일스톤",3,IF('작업 관리'!$G55="완료",2,1)),"")</f>
        <v/>
      </c>
      <c r="H55" s="55" t="str">
        <f>IF(AND(H$8&gt;='작업 관리'!$E55,H$8&lt;='작업 관리'!$F55),IF('작업 관리'!$I55="마일스톤",3,IF('작업 관리'!$G55="완료",2,1)),"")</f>
        <v/>
      </c>
      <c r="I55" s="54">
        <f>IF(AND(I$8&gt;='작업 관리'!$E55,I$8&lt;='작업 관리'!$F55),IF('작업 관리'!$I55="마일스톤",3,IF('작업 관리'!$G55="완료",2,1)),"")</f>
        <v>1</v>
      </c>
      <c r="J55" s="54" t="str">
        <f>IF(AND(J$8&gt;='작업 관리'!$E55,J$8&lt;='작업 관리'!$F55),IF('작업 관리'!$I55="마일스톤",3,IF('작업 관리'!$G55="완료",2,1)),"")</f>
        <v/>
      </c>
      <c r="K55" s="54" t="str">
        <f>IF(AND(K$8&gt;='작업 관리'!$E55,K$8&lt;='작업 관리'!$F55),IF('작업 관리'!$I55="마일스톤",3,IF('작업 관리'!$G55="완료",2,1)),"")</f>
        <v/>
      </c>
      <c r="L55" s="54" t="str">
        <f>IF(AND(L$8&gt;='작업 관리'!$E55,L$8&lt;='작업 관리'!$F55),IF('작업 관리'!$I55="마일스톤",3,IF('작업 관리'!$G55="완료",2,1)),"")</f>
        <v/>
      </c>
      <c r="M55" s="54" t="str">
        <f>IF(AND(M$8&gt;='작업 관리'!$E55,M$8&lt;='작업 관리'!$F55),IF('작업 관리'!$I55="마일스톤",3,IF('작업 관리'!$G55="완료",2,1)),"")</f>
        <v/>
      </c>
      <c r="N55" s="55" t="str">
        <f>IF(AND(N$8&gt;='작업 관리'!$E55,N$8&lt;='작업 관리'!$F55),IF('작업 관리'!$I55="마일스톤",3,IF('작업 관리'!$G55="완료",2,1)),"")</f>
        <v/>
      </c>
      <c r="O55" s="55" t="str">
        <f>IF(AND(O$8&gt;='작업 관리'!$E55,O$8&lt;='작업 관리'!$F55),IF('작업 관리'!$I55="마일스톤",3,IF('작업 관리'!$G55="완료",2,1)),"")</f>
        <v/>
      </c>
      <c r="P55" s="54" t="str">
        <f>IF(AND(P$8&gt;='작업 관리'!$E55,P$8&lt;='작업 관리'!$F55),IF('작업 관리'!$I55="마일스톤",3,IF('작업 관리'!$G55="완료",2,1)),"")</f>
        <v/>
      </c>
      <c r="Q55" s="54" t="str">
        <f>IF(AND(Q$8&gt;='작업 관리'!$E55,Q$8&lt;='작업 관리'!$F55),IF('작업 관리'!$I55="마일스톤",3,IF('작업 관리'!$G55="완료",2,1)),"")</f>
        <v/>
      </c>
      <c r="R55" s="54" t="str">
        <f>IF(AND(R$8&gt;='작업 관리'!$E55,R$8&lt;='작업 관리'!$F55),IF('작업 관리'!$I55="마일스톤",3,IF('작업 관리'!$G55="완료",2,1)),"")</f>
        <v/>
      </c>
      <c r="S55" s="54" t="str">
        <f>IF(AND(S$8&gt;='작업 관리'!$E55,S$8&lt;='작업 관리'!$F55),IF('작업 관리'!$I55="마일스톤",3,IF('작업 관리'!$G55="완료",2,1)),"")</f>
        <v/>
      </c>
    </row>
    <row r="56" spans="1:19" ht="48" customHeight="1">
      <c r="A56" s="33" t="str">
        <f>'작업 관리'!A56</f>
        <v>7.3</v>
      </c>
      <c r="B56" s="20" t="str">
        <f>'작업 관리'!C56</f>
        <v>주석 위험 항목의 수치 변수화</v>
      </c>
      <c r="C56" s="23" t="str">
        <f>'작업 관리'!D56</f>
        <v>김동민</v>
      </c>
      <c r="D56" s="56" t="str">
        <f>IF(AND(D$8&gt;='작업 관리'!$E56,D$8&lt;='작업 관리'!$F56),IF('작업 관리'!$I56="마일스톤",3,IF('작업 관리'!$G56="완료",2,1)),"")</f>
        <v/>
      </c>
      <c r="E56" s="56" t="str">
        <f>IF(AND(E$8&gt;='작업 관리'!$E56,E$8&lt;='작업 관리'!$F56),IF('작업 관리'!$I56="마일스톤",3,IF('작업 관리'!$G56="완료",2,1)),"")</f>
        <v/>
      </c>
      <c r="F56" s="56" t="str">
        <f>IF(AND(F$8&gt;='작업 관리'!$E56,F$8&lt;='작업 관리'!$F56),IF('작업 관리'!$I56="마일스톤",3,IF('작업 관리'!$G56="완료",2,1)),"")</f>
        <v/>
      </c>
      <c r="G56" s="55" t="str">
        <f>IF(AND(G$8&gt;='작업 관리'!$E56,G$8&lt;='작업 관리'!$F56),IF('작업 관리'!$I56="마일스톤",3,IF('작업 관리'!$G56="완료",2,1)),"")</f>
        <v/>
      </c>
      <c r="H56" s="55" t="str">
        <f>IF(AND(H$8&gt;='작업 관리'!$E56,H$8&lt;='작업 관리'!$F56),IF('작업 관리'!$I56="마일스톤",3,IF('작업 관리'!$G56="완료",2,1)),"")</f>
        <v/>
      </c>
      <c r="I56" s="56" t="str">
        <f>IF(AND(I$8&gt;='작업 관리'!$E56,I$8&lt;='작업 관리'!$F56),IF('작업 관리'!$I56="마일스톤",3,IF('작업 관리'!$G56="완료",2,1)),"")</f>
        <v/>
      </c>
      <c r="J56" s="56" t="str">
        <f>IF(AND(J$8&gt;='작업 관리'!$E56,J$8&lt;='작업 관리'!$F56),IF('작업 관리'!$I56="마일스톤",3,IF('작업 관리'!$G56="완료",2,1)),"")</f>
        <v/>
      </c>
      <c r="K56" s="56">
        <f>IF(AND(K$8&gt;='작업 관리'!$E56,K$8&lt;='작업 관리'!$F56),IF('작업 관리'!$I56="마일스톤",3,IF('작업 관리'!$G56="완료",2,1)),"")</f>
        <v>1</v>
      </c>
      <c r="L56" s="56" t="str">
        <f>IF(AND(L$8&gt;='작업 관리'!$E56,L$8&lt;='작업 관리'!$F56),IF('작업 관리'!$I56="마일스톤",3,IF('작업 관리'!$G56="완료",2,1)),"")</f>
        <v/>
      </c>
      <c r="M56" s="56" t="str">
        <f>IF(AND(M$8&gt;='작업 관리'!$E56,M$8&lt;='작업 관리'!$F56),IF('작업 관리'!$I56="마일스톤",3,IF('작업 관리'!$G56="완료",2,1)),"")</f>
        <v/>
      </c>
      <c r="N56" s="55" t="str">
        <f>IF(AND(N$8&gt;='작업 관리'!$E56,N$8&lt;='작업 관리'!$F56),IF('작업 관리'!$I56="마일스톤",3,IF('작업 관리'!$G56="완료",2,1)),"")</f>
        <v/>
      </c>
      <c r="O56" s="55" t="str">
        <f>IF(AND(O$8&gt;='작업 관리'!$E56,O$8&lt;='작업 관리'!$F56),IF('작업 관리'!$I56="마일스톤",3,IF('작업 관리'!$G56="완료",2,1)),"")</f>
        <v/>
      </c>
      <c r="P56" s="56" t="str">
        <f>IF(AND(P$8&gt;='작업 관리'!$E56,P$8&lt;='작업 관리'!$F56),IF('작업 관리'!$I56="마일스톤",3,IF('작업 관리'!$G56="완료",2,1)),"")</f>
        <v/>
      </c>
      <c r="Q56" s="56" t="str">
        <f>IF(AND(Q$8&gt;='작업 관리'!$E56,Q$8&lt;='작업 관리'!$F56),IF('작업 관리'!$I56="마일스톤",3,IF('작업 관리'!$G56="완료",2,1)),"")</f>
        <v/>
      </c>
      <c r="R56" s="56" t="str">
        <f>IF(AND(R$8&gt;='작업 관리'!$E56,R$8&lt;='작업 관리'!$F56),IF('작업 관리'!$I56="마일스톤",3,IF('작업 관리'!$G56="완료",2,1)),"")</f>
        <v/>
      </c>
      <c r="S56" s="56" t="str">
        <f>IF(AND(S$8&gt;='작업 관리'!$E56,S$8&lt;='작업 관리'!$F56),IF('작업 관리'!$I56="마일스톤",3,IF('작업 관리'!$G56="완료",2,1)),"")</f>
        <v/>
      </c>
    </row>
    <row r="57" spans="1:19" ht="48" customHeight="1">
      <c r="A57" s="38" t="str">
        <f>'작업 관리'!A57</f>
        <v>7.4</v>
      </c>
      <c r="B57" s="17" t="str">
        <f>'작업 관리'!C57</f>
        <v>재무·주석 결합 위험 사건 모델 학습</v>
      </c>
      <c r="C57" s="4" t="str">
        <f>'작업 관리'!D57</f>
        <v>김동민</v>
      </c>
      <c r="D57" s="54" t="str">
        <f>IF(AND(D$8&gt;='작업 관리'!$E57,D$8&lt;='작업 관리'!$F57),IF('작업 관리'!$I57="마일스톤",3,IF('작업 관리'!$G57="완료",2,1)),"")</f>
        <v/>
      </c>
      <c r="E57" s="54" t="str">
        <f>IF(AND(E$8&gt;='작업 관리'!$E57,E$8&lt;='작업 관리'!$F57),IF('작업 관리'!$I57="마일스톤",3,IF('작업 관리'!$G57="완료",2,1)),"")</f>
        <v/>
      </c>
      <c r="F57" s="54" t="str">
        <f>IF(AND(F$8&gt;='작업 관리'!$E57,F$8&lt;='작업 관리'!$F57),IF('작업 관리'!$I57="마일스톤",3,IF('작업 관리'!$G57="완료",2,1)),"")</f>
        <v/>
      </c>
      <c r="G57" s="55" t="str">
        <f>IF(AND(G$8&gt;='작업 관리'!$E57,G$8&lt;='작업 관리'!$F57),IF('작업 관리'!$I57="마일스톤",3,IF('작업 관리'!$G57="완료",2,1)),"")</f>
        <v/>
      </c>
      <c r="H57" s="55" t="str">
        <f>IF(AND(H$8&gt;='작업 관리'!$E57,H$8&lt;='작업 관리'!$F57),IF('작업 관리'!$I57="마일스톤",3,IF('작업 관리'!$G57="완료",2,1)),"")</f>
        <v/>
      </c>
      <c r="I57" s="54" t="str">
        <f>IF(AND(I$8&gt;='작업 관리'!$E57,I$8&lt;='작업 관리'!$F57),IF('작업 관리'!$I57="마일스톤",3,IF('작업 관리'!$G57="완료",2,1)),"")</f>
        <v/>
      </c>
      <c r="J57" s="54" t="str">
        <f>IF(AND(J$8&gt;='작업 관리'!$E57,J$8&lt;='작업 관리'!$F57),IF('작업 관리'!$I57="마일스톤",3,IF('작업 관리'!$G57="완료",2,1)),"")</f>
        <v/>
      </c>
      <c r="K57" s="54">
        <f>IF(AND(K$8&gt;='작업 관리'!$E57,K$8&lt;='작업 관리'!$F57),IF('작업 관리'!$I57="마일스톤",3,IF('작업 관리'!$G57="완료",2,1)),"")</f>
        <v>1</v>
      </c>
      <c r="L57" s="54">
        <f>IF(AND(L$8&gt;='작업 관리'!$E57,L$8&lt;='작업 관리'!$F57),IF('작업 관리'!$I57="마일스톤",3,IF('작업 관리'!$G57="완료",2,1)),"")</f>
        <v>1</v>
      </c>
      <c r="M57" s="54" t="str">
        <f>IF(AND(M$8&gt;='작업 관리'!$E57,M$8&lt;='작업 관리'!$F57),IF('작업 관리'!$I57="마일스톤",3,IF('작업 관리'!$G57="완료",2,1)),"")</f>
        <v/>
      </c>
      <c r="N57" s="55" t="str">
        <f>IF(AND(N$8&gt;='작업 관리'!$E57,N$8&lt;='작업 관리'!$F57),IF('작업 관리'!$I57="마일스톤",3,IF('작업 관리'!$G57="완료",2,1)),"")</f>
        <v/>
      </c>
      <c r="O57" s="55" t="str">
        <f>IF(AND(O$8&gt;='작업 관리'!$E57,O$8&lt;='작업 관리'!$F57),IF('작업 관리'!$I57="마일스톤",3,IF('작업 관리'!$G57="완료",2,1)),"")</f>
        <v/>
      </c>
      <c r="P57" s="54" t="str">
        <f>IF(AND(P$8&gt;='작업 관리'!$E57,P$8&lt;='작업 관리'!$F57),IF('작업 관리'!$I57="마일스톤",3,IF('작업 관리'!$G57="완료",2,1)),"")</f>
        <v/>
      </c>
      <c r="Q57" s="54" t="str">
        <f>IF(AND(Q$8&gt;='작업 관리'!$E57,Q$8&lt;='작업 관리'!$F57),IF('작업 관리'!$I57="마일스톤",3,IF('작업 관리'!$G57="완료",2,1)),"")</f>
        <v/>
      </c>
      <c r="R57" s="54" t="str">
        <f>IF(AND(R$8&gt;='작업 관리'!$E57,R$8&lt;='작업 관리'!$F57),IF('작업 관리'!$I57="마일스톤",3,IF('작업 관리'!$G57="완료",2,1)),"")</f>
        <v/>
      </c>
      <c r="S57" s="54" t="str">
        <f>IF(AND(S$8&gt;='작업 관리'!$E57,S$8&lt;='작업 관리'!$F57),IF('작업 관리'!$I57="마일스톤",3,IF('작업 관리'!$G57="완료",2,1)),"")</f>
        <v/>
      </c>
    </row>
    <row r="58" spans="1:19" ht="48" customHeight="1">
      <c r="A58" s="33" t="str">
        <f>'작업 관리'!A58</f>
        <v>7.5</v>
      </c>
      <c r="B58" s="20" t="str">
        <f>'작업 관리'!C58</f>
        <v>모델 비교와 예측 확률 보정</v>
      </c>
      <c r="C58" s="23" t="str">
        <f>'작업 관리'!D58</f>
        <v>김동민</v>
      </c>
      <c r="D58" s="56" t="str">
        <f>IF(AND(D$8&gt;='작업 관리'!$E58,D$8&lt;='작업 관리'!$F58),IF('작업 관리'!$I58="마일스톤",3,IF('작업 관리'!$G58="완료",2,1)),"")</f>
        <v/>
      </c>
      <c r="E58" s="56" t="str">
        <f>IF(AND(E$8&gt;='작업 관리'!$E58,E$8&lt;='작업 관리'!$F58),IF('작업 관리'!$I58="마일스톤",3,IF('작업 관리'!$G58="완료",2,1)),"")</f>
        <v/>
      </c>
      <c r="F58" s="56" t="str">
        <f>IF(AND(F$8&gt;='작업 관리'!$E58,F$8&lt;='작업 관리'!$F58),IF('작업 관리'!$I58="마일스톤",3,IF('작업 관리'!$G58="완료",2,1)),"")</f>
        <v/>
      </c>
      <c r="G58" s="55" t="str">
        <f>IF(AND(G$8&gt;='작업 관리'!$E58,G$8&lt;='작업 관리'!$F58),IF('작업 관리'!$I58="마일스톤",3,IF('작업 관리'!$G58="완료",2,1)),"")</f>
        <v/>
      </c>
      <c r="H58" s="55" t="str">
        <f>IF(AND(H$8&gt;='작업 관리'!$E58,H$8&lt;='작업 관리'!$F58),IF('작업 관리'!$I58="마일스톤",3,IF('작업 관리'!$G58="완료",2,1)),"")</f>
        <v/>
      </c>
      <c r="I58" s="56" t="str">
        <f>IF(AND(I$8&gt;='작업 관리'!$E58,I$8&lt;='작업 관리'!$F58),IF('작업 관리'!$I58="마일스톤",3,IF('작업 관리'!$G58="완료",2,1)),"")</f>
        <v/>
      </c>
      <c r="J58" s="56" t="str">
        <f>IF(AND(J$8&gt;='작업 관리'!$E58,J$8&lt;='작업 관리'!$F58),IF('작업 관리'!$I58="마일스톤",3,IF('작업 관리'!$G58="완료",2,1)),"")</f>
        <v/>
      </c>
      <c r="K58" s="56" t="str">
        <f>IF(AND(K$8&gt;='작업 관리'!$E58,K$8&lt;='작업 관리'!$F58),IF('작업 관리'!$I58="마일스톤",3,IF('작업 관리'!$G58="완료",2,1)),"")</f>
        <v/>
      </c>
      <c r="L58" s="56">
        <f>IF(AND(L$8&gt;='작업 관리'!$E58,L$8&lt;='작업 관리'!$F58),IF('작업 관리'!$I58="마일스톤",3,IF('작업 관리'!$G58="완료",2,1)),"")</f>
        <v>1</v>
      </c>
      <c r="M58" s="56">
        <f>IF(AND(M$8&gt;='작업 관리'!$E58,M$8&lt;='작업 관리'!$F58),IF('작업 관리'!$I58="마일스톤",3,IF('작업 관리'!$G58="완료",2,1)),"")</f>
        <v>1</v>
      </c>
      <c r="N58" s="55" t="str">
        <f>IF(AND(N$8&gt;='작업 관리'!$E58,N$8&lt;='작업 관리'!$F58),IF('작업 관리'!$I58="마일스톤",3,IF('작업 관리'!$G58="완료",2,1)),"")</f>
        <v/>
      </c>
      <c r="O58" s="55" t="str">
        <f>IF(AND(O$8&gt;='작업 관리'!$E58,O$8&lt;='작업 관리'!$F58),IF('작업 관리'!$I58="마일스톤",3,IF('작업 관리'!$G58="완료",2,1)),"")</f>
        <v/>
      </c>
      <c r="P58" s="56" t="str">
        <f>IF(AND(P$8&gt;='작업 관리'!$E58,P$8&lt;='작업 관리'!$F58),IF('작업 관리'!$I58="마일스톤",3,IF('작업 관리'!$G58="완료",2,1)),"")</f>
        <v/>
      </c>
      <c r="Q58" s="56" t="str">
        <f>IF(AND(Q$8&gt;='작업 관리'!$E58,Q$8&lt;='작업 관리'!$F58),IF('작업 관리'!$I58="마일스톤",3,IF('작업 관리'!$G58="완료",2,1)),"")</f>
        <v/>
      </c>
      <c r="R58" s="56" t="str">
        <f>IF(AND(R$8&gt;='작업 관리'!$E58,R$8&lt;='작업 관리'!$F58),IF('작업 관리'!$I58="마일스톤",3,IF('작업 관리'!$G58="완료",2,1)),"")</f>
        <v/>
      </c>
      <c r="S58" s="56" t="str">
        <f>IF(AND(S$8&gt;='작업 관리'!$E58,S$8&lt;='작업 관리'!$F58),IF('작업 관리'!$I58="마일스톤",3,IF('작업 관리'!$G58="완료",2,1)),"")</f>
        <v/>
      </c>
    </row>
    <row r="59" spans="1:19" ht="48" customHeight="1">
      <c r="A59" s="38" t="str">
        <f>'작업 관리'!A59</f>
        <v>7.6</v>
      </c>
      <c r="B59" s="17" t="str">
        <f>'작업 관리'!C59</f>
        <v>위험 사건 예측 확률·근거·보류 화면</v>
      </c>
      <c r="C59" s="4" t="str">
        <f>'작업 관리'!D59</f>
        <v>서종원</v>
      </c>
      <c r="D59" s="54" t="str">
        <f>IF(AND(D$8&gt;='작업 관리'!$E59,D$8&lt;='작업 관리'!$F59),IF('작업 관리'!$I59="마일스톤",3,IF('작업 관리'!$G59="완료",2,1)),"")</f>
        <v/>
      </c>
      <c r="E59" s="54" t="str">
        <f>IF(AND(E$8&gt;='작업 관리'!$E59,E$8&lt;='작업 관리'!$F59),IF('작업 관리'!$I59="마일스톤",3,IF('작업 관리'!$G59="완료",2,1)),"")</f>
        <v/>
      </c>
      <c r="F59" s="54" t="str">
        <f>IF(AND(F$8&gt;='작업 관리'!$E59,F$8&lt;='작업 관리'!$F59),IF('작업 관리'!$I59="마일스톤",3,IF('작업 관리'!$G59="완료",2,1)),"")</f>
        <v/>
      </c>
      <c r="G59" s="55" t="str">
        <f>IF(AND(G$8&gt;='작업 관리'!$E59,G$8&lt;='작업 관리'!$F59),IF('작업 관리'!$I59="마일스톤",3,IF('작업 관리'!$G59="완료",2,1)),"")</f>
        <v/>
      </c>
      <c r="H59" s="55" t="str">
        <f>IF(AND(H$8&gt;='작업 관리'!$E59,H$8&lt;='작업 관리'!$F59),IF('작업 관리'!$I59="마일스톤",3,IF('작업 관리'!$G59="완료",2,1)),"")</f>
        <v/>
      </c>
      <c r="I59" s="54" t="str">
        <f>IF(AND(I$8&gt;='작업 관리'!$E59,I$8&lt;='작업 관리'!$F59),IF('작업 관리'!$I59="마일스톤",3,IF('작업 관리'!$G59="완료",2,1)),"")</f>
        <v/>
      </c>
      <c r="J59" s="54" t="str">
        <f>IF(AND(J$8&gt;='작업 관리'!$E59,J$8&lt;='작업 관리'!$F59),IF('작업 관리'!$I59="마일스톤",3,IF('작업 관리'!$G59="완료",2,1)),"")</f>
        <v/>
      </c>
      <c r="K59" s="54" t="str">
        <f>IF(AND(K$8&gt;='작업 관리'!$E59,K$8&lt;='작업 관리'!$F59),IF('작업 관리'!$I59="마일스톤",3,IF('작업 관리'!$G59="완료",2,1)),"")</f>
        <v/>
      </c>
      <c r="L59" s="54">
        <f>IF(AND(L$8&gt;='작업 관리'!$E59,L$8&lt;='작업 관리'!$F59),IF('작업 관리'!$I59="마일스톤",3,IF('작업 관리'!$G59="완료",2,1)),"")</f>
        <v>1</v>
      </c>
      <c r="M59" s="54">
        <f>IF(AND(M$8&gt;='작업 관리'!$E59,M$8&lt;='작업 관리'!$F59),IF('작업 관리'!$I59="마일스톤",3,IF('작업 관리'!$G59="완료",2,1)),"")</f>
        <v>1</v>
      </c>
      <c r="N59" s="55" t="str">
        <f>IF(AND(N$8&gt;='작업 관리'!$E59,N$8&lt;='작업 관리'!$F59),IF('작업 관리'!$I59="마일스톤",3,IF('작업 관리'!$G59="완료",2,1)),"")</f>
        <v/>
      </c>
      <c r="O59" s="55" t="str">
        <f>IF(AND(O$8&gt;='작업 관리'!$E59,O$8&lt;='작업 관리'!$F59),IF('작업 관리'!$I59="마일스톤",3,IF('작업 관리'!$G59="완료",2,1)),"")</f>
        <v/>
      </c>
      <c r="P59" s="54" t="str">
        <f>IF(AND(P$8&gt;='작업 관리'!$E59,P$8&lt;='작업 관리'!$F59),IF('작업 관리'!$I59="마일스톤",3,IF('작업 관리'!$G59="완료",2,1)),"")</f>
        <v/>
      </c>
      <c r="Q59" s="54" t="str">
        <f>IF(AND(Q$8&gt;='작업 관리'!$E59,Q$8&lt;='작업 관리'!$F59),IF('작업 관리'!$I59="마일스톤",3,IF('작업 관리'!$G59="완료",2,1)),"")</f>
        <v/>
      </c>
      <c r="R59" s="54" t="str">
        <f>IF(AND(R$8&gt;='작업 관리'!$E59,R$8&lt;='작업 관리'!$F59),IF('작업 관리'!$I59="마일스톤",3,IF('작업 관리'!$G59="완료",2,1)),"")</f>
        <v/>
      </c>
      <c r="S59" s="54" t="str">
        <f>IF(AND(S$8&gt;='작업 관리'!$E59,S$8&lt;='작업 관리'!$F59),IF('작업 관리'!$I59="마일스톤",3,IF('작업 관리'!$G59="완료",2,1)),"")</f>
        <v/>
      </c>
    </row>
    <row r="60" spans="1:19" ht="48" customHeight="1">
      <c r="A60" s="33" t="str">
        <f>'작업 관리'!A60</f>
        <v>7.7</v>
      </c>
      <c r="B60" s="20" t="str">
        <f>'작업 관리'!C60</f>
        <v>예측 결과를 검토 기록에 연결</v>
      </c>
      <c r="C60" s="23" t="str">
        <f>'작업 관리'!D60</f>
        <v>서종원</v>
      </c>
      <c r="D60" s="56" t="str">
        <f>IF(AND(D$8&gt;='작업 관리'!$E60,D$8&lt;='작업 관리'!$F60),IF('작업 관리'!$I60="마일스톤",3,IF('작업 관리'!$G60="완료",2,1)),"")</f>
        <v/>
      </c>
      <c r="E60" s="56" t="str">
        <f>IF(AND(E$8&gt;='작업 관리'!$E60,E$8&lt;='작업 관리'!$F60),IF('작업 관리'!$I60="마일스톤",3,IF('작업 관리'!$G60="완료",2,1)),"")</f>
        <v/>
      </c>
      <c r="F60" s="56" t="str">
        <f>IF(AND(F$8&gt;='작업 관리'!$E60,F$8&lt;='작업 관리'!$F60),IF('작업 관리'!$I60="마일스톤",3,IF('작업 관리'!$G60="완료",2,1)),"")</f>
        <v/>
      </c>
      <c r="G60" s="55" t="str">
        <f>IF(AND(G$8&gt;='작업 관리'!$E60,G$8&lt;='작업 관리'!$F60),IF('작업 관리'!$I60="마일스톤",3,IF('작업 관리'!$G60="완료",2,1)),"")</f>
        <v/>
      </c>
      <c r="H60" s="55" t="str">
        <f>IF(AND(H$8&gt;='작업 관리'!$E60,H$8&lt;='작업 관리'!$F60),IF('작업 관리'!$I60="마일스톤",3,IF('작업 관리'!$G60="완료",2,1)),"")</f>
        <v/>
      </c>
      <c r="I60" s="56" t="str">
        <f>IF(AND(I$8&gt;='작업 관리'!$E60,I$8&lt;='작업 관리'!$F60),IF('작업 관리'!$I60="마일스톤",3,IF('작업 관리'!$G60="완료",2,1)),"")</f>
        <v/>
      </c>
      <c r="J60" s="56" t="str">
        <f>IF(AND(J$8&gt;='작업 관리'!$E60,J$8&lt;='작업 관리'!$F60),IF('작업 관리'!$I60="마일스톤",3,IF('작업 관리'!$G60="완료",2,1)),"")</f>
        <v/>
      </c>
      <c r="K60" s="56" t="str">
        <f>IF(AND(K$8&gt;='작업 관리'!$E60,K$8&lt;='작업 관리'!$F60),IF('작업 관리'!$I60="마일스톤",3,IF('작업 관리'!$G60="완료",2,1)),"")</f>
        <v/>
      </c>
      <c r="L60" s="56" t="str">
        <f>IF(AND(L$8&gt;='작업 관리'!$E60,L$8&lt;='작업 관리'!$F60),IF('작업 관리'!$I60="마일스톤",3,IF('작업 관리'!$G60="완료",2,1)),"")</f>
        <v/>
      </c>
      <c r="M60" s="56">
        <f>IF(AND(M$8&gt;='작업 관리'!$E60,M$8&lt;='작업 관리'!$F60),IF('작업 관리'!$I60="마일스톤",3,IF('작업 관리'!$G60="완료",2,1)),"")</f>
        <v>1</v>
      </c>
      <c r="N60" s="55" t="str">
        <f>IF(AND(N$8&gt;='작업 관리'!$E60,N$8&lt;='작업 관리'!$F60),IF('작업 관리'!$I60="마일스톤",3,IF('작업 관리'!$G60="완료",2,1)),"")</f>
        <v/>
      </c>
      <c r="O60" s="55" t="str">
        <f>IF(AND(O$8&gt;='작업 관리'!$E60,O$8&lt;='작업 관리'!$F60),IF('작업 관리'!$I60="마일스톤",3,IF('작업 관리'!$G60="완료",2,1)),"")</f>
        <v/>
      </c>
      <c r="P60" s="56" t="str">
        <f>IF(AND(P$8&gt;='작업 관리'!$E60,P$8&lt;='작업 관리'!$F60),IF('작업 관리'!$I60="마일스톤",3,IF('작업 관리'!$G60="완료",2,1)),"")</f>
        <v/>
      </c>
      <c r="Q60" s="56" t="str">
        <f>IF(AND(Q$8&gt;='작업 관리'!$E60,Q$8&lt;='작업 관리'!$F60),IF('작업 관리'!$I60="마일스톤",3,IF('작업 관리'!$G60="완료",2,1)),"")</f>
        <v/>
      </c>
      <c r="R60" s="56" t="str">
        <f>IF(AND(R$8&gt;='작업 관리'!$E60,R$8&lt;='작업 관리'!$F60),IF('작업 관리'!$I60="마일스톤",3,IF('작업 관리'!$G60="완료",2,1)),"")</f>
        <v/>
      </c>
      <c r="S60" s="56" t="str">
        <f>IF(AND(S$8&gt;='작업 관리'!$E60,S$8&lt;='작업 관리'!$F60),IF('작업 관리'!$I60="마일스톤",3,IF('작업 관리'!$G60="완료",2,1)),"")</f>
        <v/>
      </c>
    </row>
    <row r="61" spans="1:19" ht="48" customHeight="1">
      <c r="A61" s="38" t="str">
        <f>'작업 관리'!A61</f>
        <v>7.2</v>
      </c>
      <c r="B61" s="17" t="str">
        <f>'작업 관리'!C61</f>
        <v>모델 성능·정보 누출·해석 검증</v>
      </c>
      <c r="C61" s="4" t="str">
        <f>'작업 관리'!D61</f>
        <v>김동민</v>
      </c>
      <c r="D61" s="54" t="str">
        <f>IF(AND(D$8&gt;='작업 관리'!$E61,D$8&lt;='작업 관리'!$F61),IF('작업 관리'!$I61="마일스톤",3,IF('작업 관리'!$G61="완료",2,1)),"")</f>
        <v/>
      </c>
      <c r="E61" s="54" t="str">
        <f>IF(AND(E$8&gt;='작업 관리'!$E61,E$8&lt;='작업 관리'!$F61),IF('작업 관리'!$I61="마일스톤",3,IF('작업 관리'!$G61="완료",2,1)),"")</f>
        <v/>
      </c>
      <c r="F61" s="54" t="str">
        <f>IF(AND(F$8&gt;='작업 관리'!$E61,F$8&lt;='작업 관리'!$F61),IF('작업 관리'!$I61="마일스톤",3,IF('작업 관리'!$G61="완료",2,1)),"")</f>
        <v/>
      </c>
      <c r="G61" s="55" t="str">
        <f>IF(AND(G$8&gt;='작업 관리'!$E61,G$8&lt;='작업 관리'!$F61),IF('작업 관리'!$I61="마일스톤",3,IF('작업 관리'!$G61="완료",2,1)),"")</f>
        <v/>
      </c>
      <c r="H61" s="55" t="str">
        <f>IF(AND(H$8&gt;='작업 관리'!$E61,H$8&lt;='작업 관리'!$F61),IF('작업 관리'!$I61="마일스톤",3,IF('작업 관리'!$G61="완료",2,1)),"")</f>
        <v/>
      </c>
      <c r="I61" s="54" t="str">
        <f>IF(AND(I$8&gt;='작업 관리'!$E61,I$8&lt;='작업 관리'!$F61),IF('작업 관리'!$I61="마일스톤",3,IF('작업 관리'!$G61="완료",2,1)),"")</f>
        <v/>
      </c>
      <c r="J61" s="54" t="str">
        <f>IF(AND(J$8&gt;='작업 관리'!$E61,J$8&lt;='작업 관리'!$F61),IF('작업 관리'!$I61="마일스톤",3,IF('작업 관리'!$G61="완료",2,1)),"")</f>
        <v/>
      </c>
      <c r="K61" s="54" t="str">
        <f>IF(AND(K$8&gt;='작업 관리'!$E61,K$8&lt;='작업 관리'!$F61),IF('작업 관리'!$I61="마일스톤",3,IF('작업 관리'!$G61="완료",2,1)),"")</f>
        <v/>
      </c>
      <c r="L61" s="54" t="str">
        <f>IF(AND(L$8&gt;='작업 관리'!$E61,L$8&lt;='작업 관리'!$F61),IF('작업 관리'!$I61="마일스톤",3,IF('작업 관리'!$G61="완료",2,1)),"")</f>
        <v/>
      </c>
      <c r="M61" s="54">
        <f>IF(AND(M$8&gt;='작업 관리'!$E61,M$8&lt;='작업 관리'!$F61),IF('작업 관리'!$I61="마일스톤",3,IF('작업 관리'!$G61="완료",2,1)),"")</f>
        <v>1</v>
      </c>
      <c r="N61" s="55">
        <f>IF(AND(N$8&gt;='작업 관리'!$E61,N$8&lt;='작업 관리'!$F61),IF('작업 관리'!$I61="마일스톤",3,IF('작업 관리'!$G61="완료",2,1)),"")</f>
        <v>1</v>
      </c>
      <c r="O61" s="55" t="str">
        <f>IF(AND(O$8&gt;='작업 관리'!$E61,O$8&lt;='작업 관리'!$F61),IF('작업 관리'!$I61="마일스톤",3,IF('작업 관리'!$G61="완료",2,1)),"")</f>
        <v/>
      </c>
      <c r="P61" s="54" t="str">
        <f>IF(AND(P$8&gt;='작업 관리'!$E61,P$8&lt;='작업 관리'!$F61),IF('작업 관리'!$I61="마일스톤",3,IF('작업 관리'!$G61="완료",2,1)),"")</f>
        <v/>
      </c>
      <c r="Q61" s="54" t="str">
        <f>IF(AND(Q$8&gt;='작업 관리'!$E61,Q$8&lt;='작업 관리'!$F61),IF('작업 관리'!$I61="마일스톤",3,IF('작업 관리'!$G61="완료",2,1)),"")</f>
        <v/>
      </c>
      <c r="R61" s="54" t="str">
        <f>IF(AND(R$8&gt;='작업 관리'!$E61,R$8&lt;='작업 관리'!$F61),IF('작업 관리'!$I61="마일스톤",3,IF('작업 관리'!$G61="완료",2,1)),"")</f>
        <v/>
      </c>
      <c r="S61" s="54" t="str">
        <f>IF(AND(S$8&gt;='작업 관리'!$E61,S$8&lt;='작업 관리'!$F61),IF('작업 관리'!$I61="마일스톤",3,IF('작업 관리'!$G61="완료",2,1)),"")</f>
        <v/>
      </c>
    </row>
    <row r="62" spans="1:19" ht="48" customHeight="1">
      <c r="A62" s="33" t="str">
        <f>'작업 관리'!A62</f>
        <v>7.M7</v>
      </c>
      <c r="B62" s="20" t="str">
        <f>'작업 관리'!C62</f>
        <v>위험 사건 모델·연동 검증 기준 고정</v>
      </c>
      <c r="C62" s="23" t="str">
        <f>'작업 관리'!D62</f>
        <v>김동혁</v>
      </c>
      <c r="D62" s="56" t="str">
        <f>IF(AND(D$8&gt;='작업 관리'!$E62,D$8&lt;='작업 관리'!$F62),IF('작업 관리'!$I62="마일스톤",3,IF('작업 관리'!$G62="완료",2,1)),"")</f>
        <v/>
      </c>
      <c r="E62" s="56" t="str">
        <f>IF(AND(E$8&gt;='작업 관리'!$E62,E$8&lt;='작업 관리'!$F62),IF('작업 관리'!$I62="마일스톤",3,IF('작업 관리'!$G62="완료",2,1)),"")</f>
        <v/>
      </c>
      <c r="F62" s="56" t="str">
        <f>IF(AND(F$8&gt;='작업 관리'!$E62,F$8&lt;='작업 관리'!$F62),IF('작업 관리'!$I62="마일스톤",3,IF('작업 관리'!$G62="완료",2,1)),"")</f>
        <v/>
      </c>
      <c r="G62" s="55" t="str">
        <f>IF(AND(G$8&gt;='작업 관리'!$E62,G$8&lt;='작업 관리'!$F62),IF('작업 관리'!$I62="마일스톤",3,IF('작업 관리'!$G62="완료",2,1)),"")</f>
        <v/>
      </c>
      <c r="H62" s="55" t="str">
        <f>IF(AND(H$8&gt;='작업 관리'!$E62,H$8&lt;='작업 관리'!$F62),IF('작업 관리'!$I62="마일스톤",3,IF('작업 관리'!$G62="완료",2,1)),"")</f>
        <v/>
      </c>
      <c r="I62" s="56" t="str">
        <f>IF(AND(I$8&gt;='작업 관리'!$E62,I$8&lt;='작업 관리'!$F62),IF('작업 관리'!$I62="마일스톤",3,IF('작업 관리'!$G62="완료",2,1)),"")</f>
        <v/>
      </c>
      <c r="J62" s="56" t="str">
        <f>IF(AND(J$8&gt;='작업 관리'!$E62,J$8&lt;='작업 관리'!$F62),IF('작업 관리'!$I62="마일스톤",3,IF('작업 관리'!$G62="완료",2,1)),"")</f>
        <v/>
      </c>
      <c r="K62" s="56" t="str">
        <f>IF(AND(K$8&gt;='작업 관리'!$E62,K$8&lt;='작업 관리'!$F62),IF('작업 관리'!$I62="마일스톤",3,IF('작업 관리'!$G62="완료",2,1)),"")</f>
        <v/>
      </c>
      <c r="L62" s="56" t="str">
        <f>IF(AND(L$8&gt;='작업 관리'!$E62,L$8&lt;='작업 관리'!$F62),IF('작업 관리'!$I62="마일스톤",3,IF('작업 관리'!$G62="완료",2,1)),"")</f>
        <v/>
      </c>
      <c r="M62" s="56" t="str">
        <f>IF(AND(M$8&gt;='작업 관리'!$E62,M$8&lt;='작업 관리'!$F62),IF('작업 관리'!$I62="마일스톤",3,IF('작업 관리'!$G62="완료",2,1)),"")</f>
        <v/>
      </c>
      <c r="N62" s="55">
        <f>IF(AND(N$8&gt;='작업 관리'!$E62,N$8&lt;='작업 관리'!$F62),IF('작업 관리'!$I62="마일스톤",3,IF('작업 관리'!$G62="완료",2,1)),"")</f>
        <v>3</v>
      </c>
      <c r="O62" s="55" t="str">
        <f>IF(AND(O$8&gt;='작업 관리'!$E62,O$8&lt;='작업 관리'!$F62),IF('작업 관리'!$I62="마일스톤",3,IF('작업 관리'!$G62="완료",2,1)),"")</f>
        <v/>
      </c>
      <c r="P62" s="56" t="str">
        <f>IF(AND(P$8&gt;='작업 관리'!$E62,P$8&lt;='작업 관리'!$F62),IF('작업 관리'!$I62="마일스톤",3,IF('작업 관리'!$G62="완료",2,1)),"")</f>
        <v/>
      </c>
      <c r="Q62" s="56" t="str">
        <f>IF(AND(Q$8&gt;='작업 관리'!$E62,Q$8&lt;='작업 관리'!$F62),IF('작업 관리'!$I62="마일스톤",3,IF('작업 관리'!$G62="완료",2,1)),"")</f>
        <v/>
      </c>
      <c r="R62" s="56" t="str">
        <f>IF(AND(R$8&gt;='작업 관리'!$E62,R$8&lt;='작업 관리'!$F62),IF('작업 관리'!$I62="마일스톤",3,IF('작업 관리'!$G62="완료",2,1)),"")</f>
        <v/>
      </c>
      <c r="S62" s="56" t="str">
        <f>IF(AND(S$8&gt;='작업 관리'!$E62,S$8&lt;='작업 관리'!$F62),IF('작업 관리'!$I62="마일스톤",3,IF('작업 관리'!$G62="완료",2,1)),"")</f>
        <v/>
      </c>
    </row>
    <row r="63" spans="1:19" ht="48" customHeight="1">
      <c r="A63" s="38" t="str">
        <f>'작업 관리'!A63</f>
        <v>5.1</v>
      </c>
      <c r="B63" s="17" t="str">
        <f>'작업 관리'!C63</f>
        <v>접근 제어·인증키·배포 점검</v>
      </c>
      <c r="C63" s="4" t="str">
        <f>'작업 관리'!D63</f>
        <v>서종원</v>
      </c>
      <c r="D63" s="54" t="str">
        <f>IF(AND(D$8&gt;='작업 관리'!$E63,D$8&lt;='작업 관리'!$F63),IF('작업 관리'!$I63="마일스톤",3,IF('작업 관리'!$G63="완료",2,1)),"")</f>
        <v/>
      </c>
      <c r="E63" s="54" t="str">
        <f>IF(AND(E$8&gt;='작업 관리'!$E63,E$8&lt;='작업 관리'!$F63),IF('작업 관리'!$I63="마일스톤",3,IF('작업 관리'!$G63="완료",2,1)),"")</f>
        <v/>
      </c>
      <c r="F63" s="54" t="str">
        <f>IF(AND(F$8&gt;='작업 관리'!$E63,F$8&lt;='작업 관리'!$F63),IF('작업 관리'!$I63="마일스톤",3,IF('작업 관리'!$G63="완료",2,1)),"")</f>
        <v/>
      </c>
      <c r="G63" s="55" t="str">
        <f>IF(AND(G$8&gt;='작업 관리'!$E63,G$8&lt;='작업 관리'!$F63),IF('작업 관리'!$I63="마일스톤",3,IF('작업 관리'!$G63="완료",2,1)),"")</f>
        <v/>
      </c>
      <c r="H63" s="55" t="str">
        <f>IF(AND(H$8&gt;='작업 관리'!$E63,H$8&lt;='작업 관리'!$F63),IF('작업 관리'!$I63="마일스톤",3,IF('작업 관리'!$G63="완료",2,1)),"")</f>
        <v/>
      </c>
      <c r="I63" s="54" t="str">
        <f>IF(AND(I$8&gt;='작업 관리'!$E63,I$8&lt;='작업 관리'!$F63),IF('작업 관리'!$I63="마일스톤",3,IF('작업 관리'!$G63="완료",2,1)),"")</f>
        <v/>
      </c>
      <c r="J63" s="54" t="str">
        <f>IF(AND(J$8&gt;='작업 관리'!$E63,J$8&lt;='작업 관리'!$F63),IF('작업 관리'!$I63="마일스톤",3,IF('작업 관리'!$G63="완료",2,1)),"")</f>
        <v/>
      </c>
      <c r="K63" s="54" t="str">
        <f>IF(AND(K$8&gt;='작업 관리'!$E63,K$8&lt;='작업 관리'!$F63),IF('작업 관리'!$I63="마일스톤",3,IF('작업 관리'!$G63="완료",2,1)),"")</f>
        <v/>
      </c>
      <c r="L63" s="54" t="str">
        <f>IF(AND(L$8&gt;='작업 관리'!$E63,L$8&lt;='작업 관리'!$F63),IF('작업 관리'!$I63="마일스톤",3,IF('작업 관리'!$G63="완료",2,1)),"")</f>
        <v/>
      </c>
      <c r="M63" s="54" t="str">
        <f>IF(AND(M$8&gt;='작업 관리'!$E63,M$8&lt;='작업 관리'!$F63),IF('작업 관리'!$I63="마일스톤",3,IF('작업 관리'!$G63="완료",2,1)),"")</f>
        <v/>
      </c>
      <c r="N63" s="55">
        <f>IF(AND(N$8&gt;='작업 관리'!$E63,N$8&lt;='작업 관리'!$F63),IF('작업 관리'!$I63="마일스톤",3,IF('작업 관리'!$G63="완료",2,1)),"")</f>
        <v>1</v>
      </c>
      <c r="O63" s="55" t="str">
        <f>IF(AND(O$8&gt;='작업 관리'!$E63,O$8&lt;='작업 관리'!$F63),IF('작업 관리'!$I63="마일스톤",3,IF('작업 관리'!$G63="완료",2,1)),"")</f>
        <v/>
      </c>
      <c r="P63" s="54" t="str">
        <f>IF(AND(P$8&gt;='작업 관리'!$E63,P$8&lt;='작업 관리'!$F63),IF('작업 관리'!$I63="마일스톤",3,IF('작업 관리'!$G63="완료",2,1)),"")</f>
        <v/>
      </c>
      <c r="Q63" s="54" t="str">
        <f>IF(AND(Q$8&gt;='작업 관리'!$E63,Q$8&lt;='작업 관리'!$F63),IF('작업 관리'!$I63="마일스톤",3,IF('작업 관리'!$G63="완료",2,1)),"")</f>
        <v/>
      </c>
      <c r="R63" s="54" t="str">
        <f>IF(AND(R$8&gt;='작업 관리'!$E63,R$8&lt;='작업 관리'!$F63),IF('작업 관리'!$I63="마일스톤",3,IF('작업 관리'!$G63="완료",2,1)),"")</f>
        <v/>
      </c>
      <c r="S63" s="54" t="str">
        <f>IF(AND(S$8&gt;='작업 관리'!$E63,S$8&lt;='작업 관리'!$F63),IF('작업 관리'!$I63="마일스톤",3,IF('작업 관리'!$G63="완료",2,1)),"")</f>
        <v/>
      </c>
    </row>
    <row r="64" spans="1:19" ht="48" customHeight="1">
      <c r="A64" s="33" t="str">
        <f>'작업 관리'!A64</f>
        <v>5.2</v>
      </c>
      <c r="B64" s="20" t="str">
        <f>'작업 관리'!C64</f>
        <v>선정 기업별 기능·모델 통합 검증</v>
      </c>
      <c r="C64" s="23" t="str">
        <f>'작업 관리'!D64</f>
        <v>김동민</v>
      </c>
      <c r="D64" s="56" t="str">
        <f>IF(AND(D$8&gt;='작업 관리'!$E64,D$8&lt;='작업 관리'!$F64),IF('작업 관리'!$I64="마일스톤",3,IF('작업 관리'!$G64="완료",2,1)),"")</f>
        <v/>
      </c>
      <c r="E64" s="56" t="str">
        <f>IF(AND(E$8&gt;='작업 관리'!$E64,E$8&lt;='작업 관리'!$F64),IF('작업 관리'!$I64="마일스톤",3,IF('작업 관리'!$G64="완료",2,1)),"")</f>
        <v/>
      </c>
      <c r="F64" s="56" t="str">
        <f>IF(AND(F$8&gt;='작업 관리'!$E64,F$8&lt;='작업 관리'!$F64),IF('작업 관리'!$I64="마일스톤",3,IF('작업 관리'!$G64="완료",2,1)),"")</f>
        <v/>
      </c>
      <c r="G64" s="55" t="str">
        <f>IF(AND(G$8&gt;='작업 관리'!$E64,G$8&lt;='작업 관리'!$F64),IF('작업 관리'!$I64="마일스톤",3,IF('작업 관리'!$G64="완료",2,1)),"")</f>
        <v/>
      </c>
      <c r="H64" s="55" t="str">
        <f>IF(AND(H$8&gt;='작업 관리'!$E64,H$8&lt;='작업 관리'!$F64),IF('작업 관리'!$I64="마일스톤",3,IF('작업 관리'!$G64="완료",2,1)),"")</f>
        <v/>
      </c>
      <c r="I64" s="56" t="str">
        <f>IF(AND(I$8&gt;='작업 관리'!$E64,I$8&lt;='작업 관리'!$F64),IF('작업 관리'!$I64="마일스톤",3,IF('작업 관리'!$G64="완료",2,1)),"")</f>
        <v/>
      </c>
      <c r="J64" s="56" t="str">
        <f>IF(AND(J$8&gt;='작업 관리'!$E64,J$8&lt;='작업 관리'!$F64),IF('작업 관리'!$I64="마일스톤",3,IF('작업 관리'!$G64="완료",2,1)),"")</f>
        <v/>
      </c>
      <c r="K64" s="56" t="str">
        <f>IF(AND(K$8&gt;='작업 관리'!$E64,K$8&lt;='작업 관리'!$F64),IF('작업 관리'!$I64="마일스톤",3,IF('작업 관리'!$G64="완료",2,1)),"")</f>
        <v/>
      </c>
      <c r="L64" s="56" t="str">
        <f>IF(AND(L$8&gt;='작업 관리'!$E64,L$8&lt;='작업 관리'!$F64),IF('작업 관리'!$I64="마일스톤",3,IF('작업 관리'!$G64="완료",2,1)),"")</f>
        <v/>
      </c>
      <c r="M64" s="56" t="str">
        <f>IF(AND(M$8&gt;='작업 관리'!$E64,M$8&lt;='작업 관리'!$F64),IF('작업 관리'!$I64="마일스톤",3,IF('작업 관리'!$G64="완료",2,1)),"")</f>
        <v/>
      </c>
      <c r="N64" s="55">
        <f>IF(AND(N$8&gt;='작업 관리'!$E64,N$8&lt;='작업 관리'!$F64),IF('작업 관리'!$I64="마일스톤",3,IF('작업 관리'!$G64="완료",2,1)),"")</f>
        <v>1</v>
      </c>
      <c r="O64" s="55">
        <f>IF(AND(O$8&gt;='작업 관리'!$E64,O$8&lt;='작업 관리'!$F64),IF('작업 관리'!$I64="마일스톤",3,IF('작업 관리'!$G64="완료",2,1)),"")</f>
        <v>1</v>
      </c>
      <c r="P64" s="56" t="str">
        <f>IF(AND(P$8&gt;='작업 관리'!$E64,P$8&lt;='작업 관리'!$F64),IF('작업 관리'!$I64="마일스톤",3,IF('작업 관리'!$G64="완료",2,1)),"")</f>
        <v/>
      </c>
      <c r="Q64" s="56" t="str">
        <f>IF(AND(Q$8&gt;='작업 관리'!$E64,Q$8&lt;='작업 관리'!$F64),IF('작업 관리'!$I64="마일스톤",3,IF('작업 관리'!$G64="완료",2,1)),"")</f>
        <v/>
      </c>
      <c r="R64" s="56" t="str">
        <f>IF(AND(R$8&gt;='작업 관리'!$E64,R$8&lt;='작업 관리'!$F64),IF('작업 관리'!$I64="마일스톤",3,IF('작업 관리'!$G64="완료",2,1)),"")</f>
        <v/>
      </c>
      <c r="S64" s="56" t="str">
        <f>IF(AND(S$8&gt;='작업 관리'!$E64,S$8&lt;='작업 관리'!$F64),IF('작업 관리'!$I64="마일스톤",3,IF('작업 관리'!$G64="완료",2,1)),"")</f>
        <v/>
      </c>
    </row>
    <row r="65" spans="1:19" ht="48" customHeight="1">
      <c r="A65" s="33" t="str">
        <f>'작업 관리'!A65</f>
        <v>5.4</v>
      </c>
      <c r="B65" s="20" t="str">
        <f>'작업 관리'!C65</f>
        <v>현직자 피드백 수렴</v>
      </c>
      <c r="C65" s="23" t="str">
        <f>'작업 관리'!D65</f>
        <v>오준탁</v>
      </c>
      <c r="D65" s="56" t="str">
        <f>IF(AND(D$8&gt;='작업 관리'!$E65,D$8&lt;='작업 관리'!$F65),IF('작업 관리'!$I65="마일스톤",3,IF('작업 관리'!$G65="완료",2,1)),"")</f>
        <v/>
      </c>
      <c r="E65" s="56" t="str">
        <f>IF(AND(E$8&gt;='작업 관리'!$E65,E$8&lt;='작업 관리'!$F65),IF('작업 관리'!$I65="마일스톤",3,IF('작업 관리'!$G65="완료",2,1)),"")</f>
        <v/>
      </c>
      <c r="F65" s="56" t="str">
        <f>IF(AND(F$8&gt;='작업 관리'!$E65,F$8&lt;='작업 관리'!$F65),IF('작업 관리'!$I65="마일스톤",3,IF('작업 관리'!$G65="완료",2,1)),"")</f>
        <v/>
      </c>
      <c r="G65" s="55" t="str">
        <f>IF(AND(G$8&gt;='작업 관리'!$E65,G$8&lt;='작업 관리'!$F65),IF('작업 관리'!$I65="마일스톤",3,IF('작업 관리'!$G65="완료",2,1)),"")</f>
        <v/>
      </c>
      <c r="H65" s="55" t="str">
        <f>IF(AND(H$8&gt;='작업 관리'!$E65,H$8&lt;='작업 관리'!$F65),IF('작업 관리'!$I65="마일스톤",3,IF('작업 관리'!$G65="완료",2,1)),"")</f>
        <v/>
      </c>
      <c r="I65" s="56" t="str">
        <f>IF(AND(I$8&gt;='작업 관리'!$E65,I$8&lt;='작업 관리'!$F65),IF('작업 관리'!$I65="마일스톤",3,IF('작업 관리'!$G65="완료",2,1)),"")</f>
        <v/>
      </c>
      <c r="J65" s="56" t="str">
        <f>IF(AND(J$8&gt;='작업 관리'!$E65,J$8&lt;='작업 관리'!$F65),IF('작업 관리'!$I65="마일스톤",3,IF('작업 관리'!$G65="완료",2,1)),"")</f>
        <v/>
      </c>
      <c r="K65" s="56" t="str">
        <f>IF(AND(K$8&gt;='작업 관리'!$E65,K$8&lt;='작업 관리'!$F65),IF('작업 관리'!$I65="마일스톤",3,IF('작업 관리'!$G65="완료",2,1)),"")</f>
        <v/>
      </c>
      <c r="L65" s="56" t="str">
        <f>IF(AND(L$8&gt;='작업 관리'!$E65,L$8&lt;='작업 관리'!$F65),IF('작업 관리'!$I65="마일스톤",3,IF('작업 관리'!$G65="완료",2,1)),"")</f>
        <v/>
      </c>
      <c r="M65" s="56" t="str">
        <f>IF(AND(M$8&gt;='작업 관리'!$E65,M$8&lt;='작업 관리'!$F65),IF('작업 관리'!$I65="마일스톤",3,IF('작업 관리'!$G65="완료",2,1)),"")</f>
        <v/>
      </c>
      <c r="N65" s="55">
        <f>IF(AND(N$8&gt;='작업 관리'!$E65,N$8&lt;='작업 관리'!$F65),IF('작업 관리'!$I65="마일스톤",3,IF('작업 관리'!$G65="완료",2,1)),"")</f>
        <v>2</v>
      </c>
      <c r="O65" s="55">
        <f>IF(AND(O$8&gt;='작업 관리'!$E65,O$8&lt;='작업 관리'!$F65),IF('작업 관리'!$I65="마일스톤",3,IF('작업 관리'!$G65="완료",2,1)),"")</f>
        <v>2</v>
      </c>
      <c r="P65" s="56" t="str">
        <f>IF(AND(P$8&gt;='작업 관리'!$E65,P$8&lt;='작업 관리'!$F65),IF('작업 관리'!$I65="마일스톤",3,IF('작업 관리'!$G65="완료",2,1)),"")</f>
        <v/>
      </c>
      <c r="Q65" s="56" t="str">
        <f>IF(AND(Q$8&gt;='작업 관리'!$E65,Q$8&lt;='작업 관리'!$F65),IF('작업 관리'!$I65="마일스톤",3,IF('작업 관리'!$G65="완료",2,1)),"")</f>
        <v/>
      </c>
      <c r="R65" s="56" t="str">
        <f>IF(AND(R$8&gt;='작업 관리'!$E65,R$8&lt;='작업 관리'!$F65),IF('작업 관리'!$I65="마일스톤",3,IF('작업 관리'!$G65="완료",2,1)),"")</f>
        <v/>
      </c>
      <c r="S65" s="56" t="str">
        <f>IF(AND(S$8&gt;='작업 관리'!$E65,S$8&lt;='작업 관리'!$F65),IF('작업 관리'!$I65="마일스톤",3,IF('작업 관리'!$G65="완료",2,1)),"")</f>
        <v/>
      </c>
    </row>
    <row r="66" spans="1:19" ht="48" customHeight="1">
      <c r="A66" s="33" t="str">
        <f>'작업 관리'!A66</f>
        <v>5.7</v>
      </c>
      <c r="B66" s="20" t="str">
        <f>'작업 관리'!C66</f>
        <v>규칙 단계·패널·검출 상태 통합 검수</v>
      </c>
      <c r="C66" s="23" t="str">
        <f>'작업 관리'!D66</f>
        <v>최수인</v>
      </c>
      <c r="D66" s="56" t="str">
        <f>IF(AND(D$8&gt;='작업 관리'!$E66,D$8&lt;='작업 관리'!$F66),IF('작업 관리'!$I66="마일스톤",3,IF('작업 관리'!$G66="완료",2,1)),"")</f>
        <v/>
      </c>
      <c r="E66" s="56" t="str">
        <f>IF(AND(E$8&gt;='작업 관리'!$E66,E$8&lt;='작업 관리'!$F66),IF('작업 관리'!$I66="마일스톤",3,IF('작업 관리'!$G66="완료",2,1)),"")</f>
        <v/>
      </c>
      <c r="F66" s="56" t="str">
        <f>IF(AND(F$8&gt;='작업 관리'!$E66,F$8&lt;='작업 관리'!$F66),IF('작업 관리'!$I66="마일스톤",3,IF('작업 관리'!$G66="완료",2,1)),"")</f>
        <v/>
      </c>
      <c r="G66" s="55" t="str">
        <f>IF(AND(G$8&gt;='작업 관리'!$E66,G$8&lt;='작업 관리'!$F66),IF('작업 관리'!$I66="마일스톤",3,IF('작업 관리'!$G66="완료",2,1)),"")</f>
        <v/>
      </c>
      <c r="H66" s="55" t="str">
        <f>IF(AND(H$8&gt;='작업 관리'!$E66,H$8&lt;='작업 관리'!$F66),IF('작업 관리'!$I66="마일스톤",3,IF('작업 관리'!$G66="완료",2,1)),"")</f>
        <v/>
      </c>
      <c r="I66" s="56" t="str">
        <f>IF(AND(I$8&gt;='작업 관리'!$E66,I$8&lt;='작업 관리'!$F66),IF('작업 관리'!$I66="마일스톤",3,IF('작업 관리'!$G66="완료",2,1)),"")</f>
        <v/>
      </c>
      <c r="J66" s="56" t="str">
        <f>IF(AND(J$8&gt;='작업 관리'!$E66,J$8&lt;='작업 관리'!$F66),IF('작업 관리'!$I66="마일스톤",3,IF('작업 관리'!$G66="완료",2,1)),"")</f>
        <v/>
      </c>
      <c r="K66" s="56" t="str">
        <f>IF(AND(K$8&gt;='작업 관리'!$E66,K$8&lt;='작업 관리'!$F66),IF('작업 관리'!$I66="마일스톤",3,IF('작업 관리'!$G66="완료",2,1)),"")</f>
        <v/>
      </c>
      <c r="L66" s="56" t="str">
        <f>IF(AND(L$8&gt;='작업 관리'!$E66,L$8&lt;='작업 관리'!$F66),IF('작업 관리'!$I66="마일스톤",3,IF('작업 관리'!$G66="완료",2,1)),"")</f>
        <v/>
      </c>
      <c r="M66" s="56" t="str">
        <f>IF(AND(M$8&gt;='작업 관리'!$E66,M$8&lt;='작업 관리'!$F66),IF('작업 관리'!$I66="마일스톤",3,IF('작업 관리'!$G66="완료",2,1)),"")</f>
        <v/>
      </c>
      <c r="N66" s="55">
        <f>IF(AND(N$8&gt;='작업 관리'!$E66,N$8&lt;='작업 관리'!$F66),IF('작업 관리'!$I66="마일스톤",3,IF('작업 관리'!$G66="완료",2,1)),"")</f>
        <v>1</v>
      </c>
      <c r="O66" s="55">
        <f>IF(AND(O$8&gt;='작업 관리'!$E66,O$8&lt;='작업 관리'!$F66),IF('작업 관리'!$I66="마일스톤",3,IF('작업 관리'!$G66="완료",2,1)),"")</f>
        <v>1</v>
      </c>
      <c r="P66" s="56" t="str">
        <f>IF(AND(P$8&gt;='작업 관리'!$E66,P$8&lt;='작업 관리'!$F66),IF('작업 관리'!$I66="마일스톤",3,IF('작업 관리'!$G66="완료",2,1)),"")</f>
        <v/>
      </c>
      <c r="Q66" s="56" t="str">
        <f>IF(AND(Q$8&gt;='작업 관리'!$E66,Q$8&lt;='작업 관리'!$F66),IF('작업 관리'!$I66="마일스톤",3,IF('작업 관리'!$G66="완료",2,1)),"")</f>
        <v/>
      </c>
      <c r="R66" s="56" t="str">
        <f>IF(AND(R$8&gt;='작업 관리'!$E66,R$8&lt;='작업 관리'!$F66),IF('작업 관리'!$I66="마일스톤",3,IF('작업 관리'!$G66="완료",2,1)),"")</f>
        <v/>
      </c>
      <c r="S66" s="56" t="str">
        <f>IF(AND(S$8&gt;='작업 관리'!$E66,S$8&lt;='작업 관리'!$F66),IF('작업 관리'!$I66="마일스톤",3,IF('작업 관리'!$G66="완료",2,1)),"")</f>
        <v/>
      </c>
    </row>
    <row r="67" spans="1:19" ht="48" customHeight="1">
      <c r="A67" s="33" t="str">
        <f>'작업 관리'!A67</f>
        <v>5.3</v>
      </c>
      <c r="B67" s="20" t="str">
        <f>'작업 관리'!C67</f>
        <v>수강생 비교 실험</v>
      </c>
      <c r="C67" s="23" t="str">
        <f>'작업 관리'!D67</f>
        <v>최수인</v>
      </c>
      <c r="D67" s="56" t="str">
        <f>IF(AND(D$8&gt;='작업 관리'!$E67,D$8&lt;='작업 관리'!$F67),IF('작업 관리'!$I67="마일스톤",3,IF('작업 관리'!$G67="완료",2,1)),"")</f>
        <v/>
      </c>
      <c r="E67" s="56" t="str">
        <f>IF(AND(E$8&gt;='작업 관리'!$E67,E$8&lt;='작업 관리'!$F67),IF('작업 관리'!$I67="마일스톤",3,IF('작업 관리'!$G67="완료",2,1)),"")</f>
        <v/>
      </c>
      <c r="F67" s="56" t="str">
        <f>IF(AND(F$8&gt;='작업 관리'!$E67,F$8&lt;='작업 관리'!$F67),IF('작업 관리'!$I67="마일스톤",3,IF('작업 관리'!$G67="완료",2,1)),"")</f>
        <v/>
      </c>
      <c r="G67" s="55" t="str">
        <f>IF(AND(G$8&gt;='작업 관리'!$E67,G$8&lt;='작업 관리'!$F67),IF('작업 관리'!$I67="마일스톤",3,IF('작업 관리'!$G67="완료",2,1)),"")</f>
        <v/>
      </c>
      <c r="H67" s="55" t="str">
        <f>IF(AND(H$8&gt;='작업 관리'!$E67,H$8&lt;='작업 관리'!$F67),IF('작업 관리'!$I67="마일스톤",3,IF('작업 관리'!$G67="완료",2,1)),"")</f>
        <v/>
      </c>
      <c r="I67" s="56" t="str">
        <f>IF(AND(I$8&gt;='작업 관리'!$E67,I$8&lt;='작업 관리'!$F67),IF('작업 관리'!$I67="마일스톤",3,IF('작업 관리'!$G67="완료",2,1)),"")</f>
        <v/>
      </c>
      <c r="J67" s="56" t="str">
        <f>IF(AND(J$8&gt;='작업 관리'!$E67,J$8&lt;='작업 관리'!$F67),IF('작업 관리'!$I67="마일스톤",3,IF('작업 관리'!$G67="완료",2,1)),"")</f>
        <v/>
      </c>
      <c r="K67" s="56" t="str">
        <f>IF(AND(K$8&gt;='작업 관리'!$E67,K$8&lt;='작업 관리'!$F67),IF('작업 관리'!$I67="마일스톤",3,IF('작업 관리'!$G67="완료",2,1)),"")</f>
        <v/>
      </c>
      <c r="L67" s="56" t="str">
        <f>IF(AND(L$8&gt;='작업 관리'!$E67,L$8&lt;='작업 관리'!$F67),IF('작업 관리'!$I67="마일스톤",3,IF('작업 관리'!$G67="완료",2,1)),"")</f>
        <v/>
      </c>
      <c r="M67" s="56" t="str">
        <f>IF(AND(M$8&gt;='작업 관리'!$E67,M$8&lt;='작업 관리'!$F67),IF('작업 관리'!$I67="마일스톤",3,IF('작업 관리'!$G67="완료",2,1)),"")</f>
        <v/>
      </c>
      <c r="N67" s="55" t="str">
        <f>IF(AND(N$8&gt;='작업 관리'!$E67,N$8&lt;='작업 관리'!$F67),IF('작업 관리'!$I67="마일스톤",3,IF('작업 관리'!$G67="완료",2,1)),"")</f>
        <v/>
      </c>
      <c r="O67" s="55">
        <f>IF(AND(O$8&gt;='작업 관리'!$E67,O$8&lt;='작업 관리'!$F67),IF('작업 관리'!$I67="마일스톤",3,IF('작업 관리'!$G67="완료",2,1)),"")</f>
        <v>1</v>
      </c>
      <c r="P67" s="56" t="str">
        <f>IF(AND(P$8&gt;='작업 관리'!$E67,P$8&lt;='작업 관리'!$F67),IF('작업 관리'!$I67="마일스톤",3,IF('작업 관리'!$G67="완료",2,1)),"")</f>
        <v/>
      </c>
      <c r="Q67" s="56" t="str">
        <f>IF(AND(Q$8&gt;='작업 관리'!$E67,Q$8&lt;='작업 관리'!$F67),IF('작업 관리'!$I67="마일스톤",3,IF('작업 관리'!$G67="완료",2,1)),"")</f>
        <v/>
      </c>
      <c r="R67" s="56" t="str">
        <f>IF(AND(R$8&gt;='작업 관리'!$E67,R$8&lt;='작업 관리'!$F67),IF('작업 관리'!$I67="마일스톤",3,IF('작업 관리'!$G67="완료",2,1)),"")</f>
        <v/>
      </c>
      <c r="S67" s="56" t="str">
        <f>IF(AND(S$8&gt;='작업 관리'!$E67,S$8&lt;='작업 관리'!$F67),IF('작업 관리'!$I67="마일스톤",3,IF('작업 관리'!$G67="완료",2,1)),"")</f>
        <v/>
      </c>
    </row>
    <row r="68" spans="1:19" ht="48" customHeight="1">
      <c r="A68" s="33" t="str">
        <f>'작업 관리'!A68</f>
        <v>5.5</v>
      </c>
      <c r="B68" s="20" t="str">
        <f>'작업 관리'!C68</f>
        <v>오류 수정과 재검증</v>
      </c>
      <c r="C68" s="23" t="str">
        <f>'작업 관리'!D68</f>
        <v>서종원</v>
      </c>
      <c r="D68" s="56" t="str">
        <f>IF(AND(D$8&gt;='작업 관리'!$E68,D$8&lt;='작업 관리'!$F68),IF('작업 관리'!$I68="마일스톤",3,IF('작업 관리'!$G68="완료",2,1)),"")</f>
        <v/>
      </c>
      <c r="E68" s="56" t="str">
        <f>IF(AND(E$8&gt;='작업 관리'!$E68,E$8&lt;='작업 관리'!$F68),IF('작업 관리'!$I68="마일스톤",3,IF('작업 관리'!$G68="완료",2,1)),"")</f>
        <v/>
      </c>
      <c r="F68" s="56" t="str">
        <f>IF(AND(F$8&gt;='작업 관리'!$E68,F$8&lt;='작업 관리'!$F68),IF('작업 관리'!$I68="마일스톤",3,IF('작업 관리'!$G68="완료",2,1)),"")</f>
        <v/>
      </c>
      <c r="G68" s="55" t="str">
        <f>IF(AND(G$8&gt;='작업 관리'!$E68,G$8&lt;='작업 관리'!$F68),IF('작업 관리'!$I68="마일스톤",3,IF('작업 관리'!$G68="완료",2,1)),"")</f>
        <v/>
      </c>
      <c r="H68" s="55" t="str">
        <f>IF(AND(H$8&gt;='작업 관리'!$E68,H$8&lt;='작업 관리'!$F68),IF('작업 관리'!$I68="마일스톤",3,IF('작업 관리'!$G68="완료",2,1)),"")</f>
        <v/>
      </c>
      <c r="I68" s="56" t="str">
        <f>IF(AND(I$8&gt;='작업 관리'!$E68,I$8&lt;='작업 관리'!$F68),IF('작업 관리'!$I68="마일스톤",3,IF('작업 관리'!$G68="완료",2,1)),"")</f>
        <v/>
      </c>
      <c r="J68" s="56" t="str">
        <f>IF(AND(J$8&gt;='작업 관리'!$E68,J$8&lt;='작업 관리'!$F68),IF('작업 관리'!$I68="마일스톤",3,IF('작업 관리'!$G68="완료",2,1)),"")</f>
        <v/>
      </c>
      <c r="K68" s="56" t="str">
        <f>IF(AND(K$8&gt;='작업 관리'!$E68,K$8&lt;='작업 관리'!$F68),IF('작업 관리'!$I68="마일스톤",3,IF('작업 관리'!$G68="완료",2,1)),"")</f>
        <v/>
      </c>
      <c r="L68" s="56" t="str">
        <f>IF(AND(L$8&gt;='작업 관리'!$E68,L$8&lt;='작업 관리'!$F68),IF('작업 관리'!$I68="마일스톤",3,IF('작업 관리'!$G68="완료",2,1)),"")</f>
        <v/>
      </c>
      <c r="M68" s="56" t="str">
        <f>IF(AND(M$8&gt;='작업 관리'!$E68,M$8&lt;='작업 관리'!$F68),IF('작업 관리'!$I68="마일스톤",3,IF('작업 관리'!$G68="완료",2,1)),"")</f>
        <v/>
      </c>
      <c r="N68" s="55" t="str">
        <f>IF(AND(N$8&gt;='작업 관리'!$E68,N$8&lt;='작업 관리'!$F68),IF('작업 관리'!$I68="마일스톤",3,IF('작업 관리'!$G68="완료",2,1)),"")</f>
        <v/>
      </c>
      <c r="O68" s="55" t="str">
        <f>IF(AND(O$8&gt;='작업 관리'!$E68,O$8&lt;='작업 관리'!$F68),IF('작업 관리'!$I68="마일스톤",3,IF('작업 관리'!$G68="완료",2,1)),"")</f>
        <v/>
      </c>
      <c r="P68" s="56">
        <f>IF(AND(P$8&gt;='작업 관리'!$E68,P$8&lt;='작업 관리'!$F68),IF('작업 관리'!$I68="마일스톤",3,IF('작업 관리'!$G68="완료",2,1)),"")</f>
        <v>1</v>
      </c>
      <c r="Q68" s="56" t="str">
        <f>IF(AND(Q$8&gt;='작업 관리'!$E68,Q$8&lt;='작업 관리'!$F68),IF('작업 관리'!$I68="마일스톤",3,IF('작업 관리'!$G68="완료",2,1)),"")</f>
        <v/>
      </c>
      <c r="R68" s="56" t="str">
        <f>IF(AND(R$8&gt;='작업 관리'!$E68,R$8&lt;='작업 관리'!$F68),IF('작업 관리'!$I68="마일스톤",3,IF('작업 관리'!$G68="완료",2,1)),"")</f>
        <v/>
      </c>
      <c r="S68" s="56" t="str">
        <f>IF(AND(S$8&gt;='작업 관리'!$E68,S$8&lt;='작업 관리'!$F68),IF('작업 관리'!$I68="마일스톤",3,IF('작업 관리'!$G68="완료",2,1)),"")</f>
        <v/>
      </c>
    </row>
    <row r="69" spans="1:19" ht="48" customHeight="1">
      <c r="A69" s="33" t="str">
        <f>'작업 관리'!A69</f>
        <v>5.6</v>
      </c>
      <c r="B69" s="20" t="str">
        <f>'작업 관리'!C69</f>
        <v>검증 보고서와 최종 범위 고정</v>
      </c>
      <c r="C69" s="23" t="str">
        <f>'작업 관리'!D69</f>
        <v>김동혁</v>
      </c>
      <c r="D69" s="56" t="str">
        <f>IF(AND(D$8&gt;='작업 관리'!$E69,D$8&lt;='작업 관리'!$F69),IF('작업 관리'!$I69="마일스톤",3,IF('작업 관리'!$G69="완료",2,1)),"")</f>
        <v/>
      </c>
      <c r="E69" s="56" t="str">
        <f>IF(AND(E$8&gt;='작업 관리'!$E69,E$8&lt;='작업 관리'!$F69),IF('작업 관리'!$I69="마일스톤",3,IF('작업 관리'!$G69="완료",2,1)),"")</f>
        <v/>
      </c>
      <c r="F69" s="56" t="str">
        <f>IF(AND(F$8&gt;='작업 관리'!$E69,F$8&lt;='작업 관리'!$F69),IF('작업 관리'!$I69="마일스톤",3,IF('작업 관리'!$G69="완료",2,1)),"")</f>
        <v/>
      </c>
      <c r="G69" s="55" t="str">
        <f>IF(AND(G$8&gt;='작업 관리'!$E69,G$8&lt;='작업 관리'!$F69),IF('작업 관리'!$I69="마일스톤",3,IF('작업 관리'!$G69="완료",2,1)),"")</f>
        <v/>
      </c>
      <c r="H69" s="55" t="str">
        <f>IF(AND(H$8&gt;='작업 관리'!$E69,H$8&lt;='작업 관리'!$F69),IF('작업 관리'!$I69="마일스톤",3,IF('작업 관리'!$G69="완료",2,1)),"")</f>
        <v/>
      </c>
      <c r="I69" s="56" t="str">
        <f>IF(AND(I$8&gt;='작업 관리'!$E69,I$8&lt;='작업 관리'!$F69),IF('작업 관리'!$I69="마일스톤",3,IF('작업 관리'!$G69="완료",2,1)),"")</f>
        <v/>
      </c>
      <c r="J69" s="56" t="str">
        <f>IF(AND(J$8&gt;='작업 관리'!$E69,J$8&lt;='작업 관리'!$F69),IF('작업 관리'!$I69="마일스톤",3,IF('작업 관리'!$G69="완료",2,1)),"")</f>
        <v/>
      </c>
      <c r="K69" s="56" t="str">
        <f>IF(AND(K$8&gt;='작업 관리'!$E69,K$8&lt;='작업 관리'!$F69),IF('작업 관리'!$I69="마일스톤",3,IF('작업 관리'!$G69="완료",2,1)),"")</f>
        <v/>
      </c>
      <c r="L69" s="56" t="str">
        <f>IF(AND(L$8&gt;='작업 관리'!$E69,L$8&lt;='작업 관리'!$F69),IF('작업 관리'!$I69="마일스톤",3,IF('작업 관리'!$G69="완료",2,1)),"")</f>
        <v/>
      </c>
      <c r="M69" s="56" t="str">
        <f>IF(AND(M$8&gt;='작업 관리'!$E69,M$8&lt;='작업 관리'!$F69),IF('작업 관리'!$I69="마일스톤",3,IF('작업 관리'!$G69="완료",2,1)),"")</f>
        <v/>
      </c>
      <c r="N69" s="55" t="str">
        <f>IF(AND(N$8&gt;='작업 관리'!$E69,N$8&lt;='작업 관리'!$F69),IF('작업 관리'!$I69="마일스톤",3,IF('작업 관리'!$G69="완료",2,1)),"")</f>
        <v/>
      </c>
      <c r="O69" s="55" t="str">
        <f>IF(AND(O$8&gt;='작업 관리'!$E69,O$8&lt;='작업 관리'!$F69),IF('작업 관리'!$I69="마일스톤",3,IF('작업 관리'!$G69="완료",2,1)),"")</f>
        <v/>
      </c>
      <c r="P69" s="56">
        <f>IF(AND(P$8&gt;='작업 관리'!$E69,P$8&lt;='작업 관리'!$F69),IF('작업 관리'!$I69="마일스톤",3,IF('작업 관리'!$G69="완료",2,1)),"")</f>
        <v>1</v>
      </c>
      <c r="Q69" s="56" t="str">
        <f>IF(AND(Q$8&gt;='작업 관리'!$E69,Q$8&lt;='작업 관리'!$F69),IF('작업 관리'!$I69="마일스톤",3,IF('작업 관리'!$G69="완료",2,1)),"")</f>
        <v/>
      </c>
      <c r="R69" s="56" t="str">
        <f>IF(AND(R$8&gt;='작업 관리'!$E69,R$8&lt;='작업 관리'!$F69),IF('작업 관리'!$I69="마일스톤",3,IF('작업 관리'!$G69="완료",2,1)),"")</f>
        <v/>
      </c>
      <c r="S69" s="56" t="str">
        <f>IF(AND(S$8&gt;='작업 관리'!$E69,S$8&lt;='작업 관리'!$F69),IF('작업 관리'!$I69="마일스톤",3,IF('작업 관리'!$G69="완료",2,1)),"")</f>
        <v/>
      </c>
    </row>
    <row r="70" spans="1:19" ht="48" customHeight="1">
      <c r="A70" s="33" t="str">
        <f>'작업 관리'!A70</f>
        <v>5.M4</v>
      </c>
      <c r="B70" s="20" t="str">
        <f>'작업 관리'!C70</f>
        <v>핵심 구현과 검증 마감</v>
      </c>
      <c r="C70" s="23" t="str">
        <f>'작업 관리'!D70</f>
        <v>김동혁</v>
      </c>
      <c r="D70" s="56" t="str">
        <f>IF(AND(D$8&gt;='작업 관리'!$E70,D$8&lt;='작업 관리'!$F70),IF('작업 관리'!$I70="마일스톤",3,IF('작업 관리'!$G70="완료",2,1)),"")</f>
        <v/>
      </c>
      <c r="E70" s="56" t="str">
        <f>IF(AND(E$8&gt;='작업 관리'!$E70,E$8&lt;='작업 관리'!$F70),IF('작업 관리'!$I70="마일스톤",3,IF('작업 관리'!$G70="완료",2,1)),"")</f>
        <v/>
      </c>
      <c r="F70" s="56" t="str">
        <f>IF(AND(F$8&gt;='작업 관리'!$E70,F$8&lt;='작업 관리'!$F70),IF('작업 관리'!$I70="마일스톤",3,IF('작업 관리'!$G70="완료",2,1)),"")</f>
        <v/>
      </c>
      <c r="G70" s="55" t="str">
        <f>IF(AND(G$8&gt;='작업 관리'!$E70,G$8&lt;='작업 관리'!$F70),IF('작업 관리'!$I70="마일스톤",3,IF('작업 관리'!$G70="완료",2,1)),"")</f>
        <v/>
      </c>
      <c r="H70" s="55" t="str">
        <f>IF(AND(H$8&gt;='작업 관리'!$E70,H$8&lt;='작업 관리'!$F70),IF('작업 관리'!$I70="마일스톤",3,IF('작업 관리'!$G70="완료",2,1)),"")</f>
        <v/>
      </c>
      <c r="I70" s="56" t="str">
        <f>IF(AND(I$8&gt;='작업 관리'!$E70,I$8&lt;='작업 관리'!$F70),IF('작업 관리'!$I70="마일스톤",3,IF('작업 관리'!$G70="완료",2,1)),"")</f>
        <v/>
      </c>
      <c r="J70" s="56" t="str">
        <f>IF(AND(J$8&gt;='작업 관리'!$E70,J$8&lt;='작업 관리'!$F70),IF('작업 관리'!$I70="마일스톤",3,IF('작업 관리'!$G70="완료",2,1)),"")</f>
        <v/>
      </c>
      <c r="K70" s="56" t="str">
        <f>IF(AND(K$8&gt;='작업 관리'!$E70,K$8&lt;='작업 관리'!$F70),IF('작업 관리'!$I70="마일스톤",3,IF('작업 관리'!$G70="완료",2,1)),"")</f>
        <v/>
      </c>
      <c r="L70" s="56" t="str">
        <f>IF(AND(L$8&gt;='작업 관리'!$E70,L$8&lt;='작업 관리'!$F70),IF('작업 관리'!$I70="마일스톤",3,IF('작업 관리'!$G70="완료",2,1)),"")</f>
        <v/>
      </c>
      <c r="M70" s="56" t="str">
        <f>IF(AND(M$8&gt;='작업 관리'!$E70,M$8&lt;='작업 관리'!$F70),IF('작업 관리'!$I70="마일스톤",3,IF('작업 관리'!$G70="완료",2,1)),"")</f>
        <v/>
      </c>
      <c r="N70" s="55" t="str">
        <f>IF(AND(N$8&gt;='작업 관리'!$E70,N$8&lt;='작업 관리'!$F70),IF('작업 관리'!$I70="마일스톤",3,IF('작업 관리'!$G70="완료",2,1)),"")</f>
        <v/>
      </c>
      <c r="O70" s="55" t="str">
        <f>IF(AND(O$8&gt;='작업 관리'!$E70,O$8&lt;='작업 관리'!$F70),IF('작업 관리'!$I70="마일스톤",3,IF('작업 관리'!$G70="완료",2,1)),"")</f>
        <v/>
      </c>
      <c r="P70" s="56">
        <f>IF(AND(P$8&gt;='작업 관리'!$E70,P$8&lt;='작업 관리'!$F70),IF('작업 관리'!$I70="마일스톤",3,IF('작업 관리'!$G70="완료",2,1)),"")</f>
        <v>3</v>
      </c>
      <c r="Q70" s="56" t="str">
        <f>IF(AND(Q$8&gt;='작업 관리'!$E70,Q$8&lt;='작업 관리'!$F70),IF('작업 관리'!$I70="마일스톤",3,IF('작업 관리'!$G70="완료",2,1)),"")</f>
        <v/>
      </c>
      <c r="R70" s="56" t="str">
        <f>IF(AND(R$8&gt;='작업 관리'!$E70,R$8&lt;='작업 관리'!$F70),IF('작업 관리'!$I70="마일스톤",3,IF('작업 관리'!$G70="완료",2,1)),"")</f>
        <v/>
      </c>
      <c r="S70" s="56" t="str">
        <f>IF(AND(S$8&gt;='작업 관리'!$E70,S$8&lt;='작업 관리'!$F70),IF('작업 관리'!$I70="마일스톤",3,IF('작업 관리'!$G70="완료",2,1)),"")</f>
        <v/>
      </c>
    </row>
    <row r="71" spans="1:19" ht="48" customHeight="1">
      <c r="A71" s="33" t="str">
        <f>'작업 관리'!A71</f>
        <v>6.1</v>
      </c>
      <c r="B71" s="20" t="str">
        <f>'작업 관리'!C71</f>
        <v>실행 안내와 데이터 문서 정리</v>
      </c>
      <c r="C71" s="23" t="str">
        <f>'작업 관리'!D71</f>
        <v>김동민</v>
      </c>
      <c r="D71" s="56" t="str">
        <f>IF(AND(D$8&gt;='작업 관리'!$E71,D$8&lt;='작업 관리'!$F71),IF('작업 관리'!$I71="마일스톤",3,IF('작업 관리'!$G71="완료",2,1)),"")</f>
        <v/>
      </c>
      <c r="E71" s="56" t="str">
        <f>IF(AND(E$8&gt;='작업 관리'!$E71,E$8&lt;='작업 관리'!$F71),IF('작업 관리'!$I71="마일스톤",3,IF('작업 관리'!$G71="완료",2,1)),"")</f>
        <v/>
      </c>
      <c r="F71" s="56" t="str">
        <f>IF(AND(F$8&gt;='작업 관리'!$E71,F$8&lt;='작업 관리'!$F71),IF('작업 관리'!$I71="마일스톤",3,IF('작업 관리'!$G71="완료",2,1)),"")</f>
        <v/>
      </c>
      <c r="G71" s="55" t="str">
        <f>IF(AND(G$8&gt;='작업 관리'!$E71,G$8&lt;='작업 관리'!$F71),IF('작업 관리'!$I71="마일스톤",3,IF('작업 관리'!$G71="완료",2,1)),"")</f>
        <v/>
      </c>
      <c r="H71" s="55" t="str">
        <f>IF(AND(H$8&gt;='작업 관리'!$E71,H$8&lt;='작업 관리'!$F71),IF('작업 관리'!$I71="마일스톤",3,IF('작업 관리'!$G71="완료",2,1)),"")</f>
        <v/>
      </c>
      <c r="I71" s="56" t="str">
        <f>IF(AND(I$8&gt;='작업 관리'!$E71,I$8&lt;='작업 관리'!$F71),IF('작업 관리'!$I71="마일스톤",3,IF('작업 관리'!$G71="완료",2,1)),"")</f>
        <v/>
      </c>
      <c r="J71" s="56" t="str">
        <f>IF(AND(J$8&gt;='작업 관리'!$E71,J$8&lt;='작업 관리'!$F71),IF('작업 관리'!$I71="마일스톤",3,IF('작업 관리'!$G71="완료",2,1)),"")</f>
        <v/>
      </c>
      <c r="K71" s="56" t="str">
        <f>IF(AND(K$8&gt;='작업 관리'!$E71,K$8&lt;='작업 관리'!$F71),IF('작업 관리'!$I71="마일스톤",3,IF('작업 관리'!$G71="완료",2,1)),"")</f>
        <v/>
      </c>
      <c r="L71" s="56" t="str">
        <f>IF(AND(L$8&gt;='작업 관리'!$E71,L$8&lt;='작업 관리'!$F71),IF('작업 관리'!$I71="마일스톤",3,IF('작업 관리'!$G71="완료",2,1)),"")</f>
        <v/>
      </c>
      <c r="M71" s="56" t="str">
        <f>IF(AND(M$8&gt;='작업 관리'!$E71,M$8&lt;='작업 관리'!$F71),IF('작업 관리'!$I71="마일스톤",3,IF('작업 관리'!$G71="완료",2,1)),"")</f>
        <v/>
      </c>
      <c r="N71" s="55" t="str">
        <f>IF(AND(N$8&gt;='작업 관리'!$E71,N$8&lt;='작업 관리'!$F71),IF('작업 관리'!$I71="마일스톤",3,IF('작업 관리'!$G71="완료",2,1)),"")</f>
        <v/>
      </c>
      <c r="O71" s="55" t="str">
        <f>IF(AND(O$8&gt;='작업 관리'!$E71,O$8&lt;='작업 관리'!$F71),IF('작업 관리'!$I71="마일스톤",3,IF('작업 관리'!$G71="완료",2,1)),"")</f>
        <v/>
      </c>
      <c r="P71" s="56" t="str">
        <f>IF(AND(P$8&gt;='작업 관리'!$E71,P$8&lt;='작업 관리'!$F71),IF('작업 관리'!$I71="마일스톤",3,IF('작업 관리'!$G71="완료",2,1)),"")</f>
        <v/>
      </c>
      <c r="Q71" s="56">
        <f>IF(AND(Q$8&gt;='작업 관리'!$E71,Q$8&lt;='작업 관리'!$F71),IF('작업 관리'!$I71="마일스톤",3,IF('작업 관리'!$G71="완료",2,1)),"")</f>
        <v>1</v>
      </c>
      <c r="R71" s="56" t="str">
        <f>IF(AND(R$8&gt;='작업 관리'!$E71,R$8&lt;='작업 관리'!$F71),IF('작업 관리'!$I71="마일스톤",3,IF('작업 관리'!$G71="완료",2,1)),"")</f>
        <v/>
      </c>
      <c r="S71" s="56" t="str">
        <f>IF(AND(S$8&gt;='작업 관리'!$E71,S$8&lt;='작업 관리'!$F71),IF('작업 관리'!$I71="마일스톤",3,IF('작업 관리'!$G71="완료",2,1)),"")</f>
        <v/>
      </c>
    </row>
    <row r="72" spans="1:19" ht="48" customHeight="1">
      <c r="A72" s="33" t="str">
        <f>'작업 관리'!A72</f>
        <v>6.2</v>
      </c>
      <c r="B72" s="20" t="str">
        <f>'작업 관리'!C72</f>
        <v>발표자료와 스토리 최종 반영</v>
      </c>
      <c r="C72" s="23" t="str">
        <f>'작업 관리'!D72</f>
        <v>오준탁</v>
      </c>
      <c r="D72" s="56" t="str">
        <f>IF(AND(D$8&gt;='작업 관리'!$E72,D$8&lt;='작업 관리'!$F72),IF('작업 관리'!$I72="마일스톤",3,IF('작업 관리'!$G72="완료",2,1)),"")</f>
        <v/>
      </c>
      <c r="E72" s="56" t="str">
        <f>IF(AND(E$8&gt;='작업 관리'!$E72,E$8&lt;='작업 관리'!$F72),IF('작업 관리'!$I72="마일스톤",3,IF('작업 관리'!$G72="완료",2,1)),"")</f>
        <v/>
      </c>
      <c r="F72" s="56" t="str">
        <f>IF(AND(F$8&gt;='작업 관리'!$E72,F$8&lt;='작업 관리'!$F72),IF('작업 관리'!$I72="마일스톤",3,IF('작업 관리'!$G72="완료",2,1)),"")</f>
        <v/>
      </c>
      <c r="G72" s="55" t="str">
        <f>IF(AND(G$8&gt;='작업 관리'!$E72,G$8&lt;='작업 관리'!$F72),IF('작업 관리'!$I72="마일스톤",3,IF('작업 관리'!$G72="완료",2,1)),"")</f>
        <v/>
      </c>
      <c r="H72" s="55" t="str">
        <f>IF(AND(H$8&gt;='작업 관리'!$E72,H$8&lt;='작업 관리'!$F72),IF('작업 관리'!$I72="마일스톤",3,IF('작업 관리'!$G72="완료",2,1)),"")</f>
        <v/>
      </c>
      <c r="I72" s="56" t="str">
        <f>IF(AND(I$8&gt;='작업 관리'!$E72,I$8&lt;='작업 관리'!$F72),IF('작업 관리'!$I72="마일스톤",3,IF('작업 관리'!$G72="완료",2,1)),"")</f>
        <v/>
      </c>
      <c r="J72" s="56" t="str">
        <f>IF(AND(J$8&gt;='작업 관리'!$E72,J$8&lt;='작업 관리'!$F72),IF('작업 관리'!$I72="마일스톤",3,IF('작업 관리'!$G72="완료",2,1)),"")</f>
        <v/>
      </c>
      <c r="K72" s="56" t="str">
        <f>IF(AND(K$8&gt;='작업 관리'!$E72,K$8&lt;='작업 관리'!$F72),IF('작업 관리'!$I72="마일스톤",3,IF('작업 관리'!$G72="완료",2,1)),"")</f>
        <v/>
      </c>
      <c r="L72" s="56" t="str">
        <f>IF(AND(L$8&gt;='작업 관리'!$E72,L$8&lt;='작업 관리'!$F72),IF('작업 관리'!$I72="마일스톤",3,IF('작업 관리'!$G72="완료",2,1)),"")</f>
        <v/>
      </c>
      <c r="M72" s="56" t="str">
        <f>IF(AND(M$8&gt;='작업 관리'!$E72,M$8&lt;='작업 관리'!$F72),IF('작업 관리'!$I72="마일스톤",3,IF('작업 관리'!$G72="완료",2,1)),"")</f>
        <v/>
      </c>
      <c r="N72" s="55" t="str">
        <f>IF(AND(N$8&gt;='작업 관리'!$E72,N$8&lt;='작업 관리'!$F72),IF('작업 관리'!$I72="마일스톤",3,IF('작업 관리'!$G72="완료",2,1)),"")</f>
        <v/>
      </c>
      <c r="O72" s="55" t="str">
        <f>IF(AND(O$8&gt;='작업 관리'!$E72,O$8&lt;='작업 관리'!$F72),IF('작업 관리'!$I72="마일스톤",3,IF('작업 관리'!$G72="완료",2,1)),"")</f>
        <v/>
      </c>
      <c r="P72" s="56" t="str">
        <f>IF(AND(P$8&gt;='작업 관리'!$E72,P$8&lt;='작업 관리'!$F72),IF('작업 관리'!$I72="마일스톤",3,IF('작업 관리'!$G72="완료",2,1)),"")</f>
        <v/>
      </c>
      <c r="Q72" s="56">
        <f>IF(AND(Q$8&gt;='작업 관리'!$E72,Q$8&lt;='작업 관리'!$F72),IF('작업 관리'!$I72="마일스톤",3,IF('작업 관리'!$G72="완료",2,1)),"")</f>
        <v>1</v>
      </c>
      <c r="R72" s="56" t="str">
        <f>IF(AND(R$8&gt;='작업 관리'!$E72,R$8&lt;='작업 관리'!$F72),IF('작업 관리'!$I72="마일스톤",3,IF('작업 관리'!$G72="완료",2,1)),"")</f>
        <v/>
      </c>
      <c r="S72" s="56" t="str">
        <f>IF(AND(S$8&gt;='작업 관리'!$E72,S$8&lt;='작업 관리'!$F72),IF('작업 관리'!$I72="마일스톤",3,IF('작업 관리'!$G72="완료",2,1)),"")</f>
        <v/>
      </c>
    </row>
    <row r="73" spans="1:19" ht="48" customHeight="1">
      <c r="A73" s="33" t="str">
        <f>'작업 관리'!A73</f>
        <v>6.3</v>
      </c>
      <c r="B73" s="20" t="str">
        <f>'작업 관리'!C73</f>
        <v>시연 영상과 예비 시연 준비</v>
      </c>
      <c r="C73" s="23" t="str">
        <f>'작업 관리'!D73</f>
        <v>서종원</v>
      </c>
      <c r="D73" s="56" t="str">
        <f>IF(AND(D$8&gt;='작업 관리'!$E73,D$8&lt;='작업 관리'!$F73),IF('작업 관리'!$I73="마일스톤",3,IF('작업 관리'!$G73="완료",2,1)),"")</f>
        <v/>
      </c>
      <c r="E73" s="56" t="str">
        <f>IF(AND(E$8&gt;='작업 관리'!$E73,E$8&lt;='작업 관리'!$F73),IF('작업 관리'!$I73="마일스톤",3,IF('작업 관리'!$G73="완료",2,1)),"")</f>
        <v/>
      </c>
      <c r="F73" s="56" t="str">
        <f>IF(AND(F$8&gt;='작업 관리'!$E73,F$8&lt;='작업 관리'!$F73),IF('작업 관리'!$I73="마일스톤",3,IF('작업 관리'!$G73="완료",2,1)),"")</f>
        <v/>
      </c>
      <c r="G73" s="55" t="str">
        <f>IF(AND(G$8&gt;='작업 관리'!$E73,G$8&lt;='작업 관리'!$F73),IF('작업 관리'!$I73="마일스톤",3,IF('작업 관리'!$G73="완료",2,1)),"")</f>
        <v/>
      </c>
      <c r="H73" s="55" t="str">
        <f>IF(AND(H$8&gt;='작업 관리'!$E73,H$8&lt;='작업 관리'!$F73),IF('작업 관리'!$I73="마일스톤",3,IF('작업 관리'!$G73="완료",2,1)),"")</f>
        <v/>
      </c>
      <c r="I73" s="56" t="str">
        <f>IF(AND(I$8&gt;='작업 관리'!$E73,I$8&lt;='작업 관리'!$F73),IF('작업 관리'!$I73="마일스톤",3,IF('작업 관리'!$G73="완료",2,1)),"")</f>
        <v/>
      </c>
      <c r="J73" s="56" t="str">
        <f>IF(AND(J$8&gt;='작업 관리'!$E73,J$8&lt;='작업 관리'!$F73),IF('작업 관리'!$I73="마일스톤",3,IF('작업 관리'!$G73="완료",2,1)),"")</f>
        <v/>
      </c>
      <c r="K73" s="56" t="str">
        <f>IF(AND(K$8&gt;='작업 관리'!$E73,K$8&lt;='작업 관리'!$F73),IF('작업 관리'!$I73="마일스톤",3,IF('작업 관리'!$G73="완료",2,1)),"")</f>
        <v/>
      </c>
      <c r="L73" s="56" t="str">
        <f>IF(AND(L$8&gt;='작업 관리'!$E73,L$8&lt;='작업 관리'!$F73),IF('작업 관리'!$I73="마일스톤",3,IF('작업 관리'!$G73="완료",2,1)),"")</f>
        <v/>
      </c>
      <c r="M73" s="56" t="str">
        <f>IF(AND(M$8&gt;='작업 관리'!$E73,M$8&lt;='작업 관리'!$F73),IF('작업 관리'!$I73="마일스톤",3,IF('작업 관리'!$G73="완료",2,1)),"")</f>
        <v/>
      </c>
      <c r="N73" s="55" t="str">
        <f>IF(AND(N$8&gt;='작업 관리'!$E73,N$8&lt;='작업 관리'!$F73),IF('작업 관리'!$I73="마일스톤",3,IF('작업 관리'!$G73="완료",2,1)),"")</f>
        <v/>
      </c>
      <c r="O73" s="55" t="str">
        <f>IF(AND(O$8&gt;='작업 관리'!$E73,O$8&lt;='작업 관리'!$F73),IF('작업 관리'!$I73="마일스톤",3,IF('작업 관리'!$G73="완료",2,1)),"")</f>
        <v/>
      </c>
      <c r="P73" s="56" t="str">
        <f>IF(AND(P$8&gt;='작업 관리'!$E73,P$8&lt;='작업 관리'!$F73),IF('작업 관리'!$I73="마일스톤",3,IF('작업 관리'!$G73="완료",2,1)),"")</f>
        <v/>
      </c>
      <c r="Q73" s="56" t="str">
        <f>IF(AND(Q$8&gt;='작업 관리'!$E73,Q$8&lt;='작업 관리'!$F73),IF('작업 관리'!$I73="마일스톤",3,IF('작업 관리'!$G73="완료",2,1)),"")</f>
        <v/>
      </c>
      <c r="R73" s="56">
        <f>IF(AND(R$8&gt;='작업 관리'!$E73,R$8&lt;='작업 관리'!$F73),IF('작업 관리'!$I73="마일스톤",3,IF('작업 관리'!$G73="완료",2,1)),"")</f>
        <v>1</v>
      </c>
      <c r="S73" s="56" t="str">
        <f>IF(AND(S$8&gt;='작업 관리'!$E73,S$8&lt;='작업 관리'!$F73),IF('작업 관리'!$I73="마일스톤",3,IF('작업 관리'!$G73="완료",2,1)),"")</f>
        <v/>
      </c>
    </row>
    <row r="74" spans="1:19" ht="48" customHeight="1">
      <c r="A74" s="33" t="str">
        <f>'작업 관리'!A74</f>
        <v>6.4</v>
      </c>
      <c r="B74" s="20" t="str">
        <f>'작업 관리'!C74</f>
        <v>제출 파일과 재현성 점검</v>
      </c>
      <c r="C74" s="23" t="str">
        <f>'작업 관리'!D74</f>
        <v>김동혁</v>
      </c>
      <c r="D74" s="56" t="str">
        <f>IF(AND(D$8&gt;='작업 관리'!$E74,D$8&lt;='작업 관리'!$F74),IF('작업 관리'!$I74="마일스톤",3,IF('작업 관리'!$G74="완료",2,1)),"")</f>
        <v/>
      </c>
      <c r="E74" s="56" t="str">
        <f>IF(AND(E$8&gt;='작업 관리'!$E74,E$8&lt;='작업 관리'!$F74),IF('작업 관리'!$I74="마일스톤",3,IF('작업 관리'!$G74="완료",2,1)),"")</f>
        <v/>
      </c>
      <c r="F74" s="56" t="str">
        <f>IF(AND(F$8&gt;='작업 관리'!$E74,F$8&lt;='작업 관리'!$F74),IF('작업 관리'!$I74="마일스톤",3,IF('작업 관리'!$G74="완료",2,1)),"")</f>
        <v/>
      </c>
      <c r="G74" s="55" t="str">
        <f>IF(AND(G$8&gt;='작업 관리'!$E74,G$8&lt;='작업 관리'!$F74),IF('작업 관리'!$I74="마일스톤",3,IF('작업 관리'!$G74="완료",2,1)),"")</f>
        <v/>
      </c>
      <c r="H74" s="55" t="str">
        <f>IF(AND(H$8&gt;='작업 관리'!$E74,H$8&lt;='작업 관리'!$F74),IF('작업 관리'!$I74="마일스톤",3,IF('작업 관리'!$G74="완료",2,1)),"")</f>
        <v/>
      </c>
      <c r="I74" s="56" t="str">
        <f>IF(AND(I$8&gt;='작업 관리'!$E74,I$8&lt;='작업 관리'!$F74),IF('작업 관리'!$I74="마일스톤",3,IF('작업 관리'!$G74="완료",2,1)),"")</f>
        <v/>
      </c>
      <c r="J74" s="56" t="str">
        <f>IF(AND(J$8&gt;='작업 관리'!$E74,J$8&lt;='작업 관리'!$F74),IF('작업 관리'!$I74="마일스톤",3,IF('작업 관리'!$G74="완료",2,1)),"")</f>
        <v/>
      </c>
      <c r="K74" s="56" t="str">
        <f>IF(AND(K$8&gt;='작업 관리'!$E74,K$8&lt;='작업 관리'!$F74),IF('작업 관리'!$I74="마일스톤",3,IF('작업 관리'!$G74="완료",2,1)),"")</f>
        <v/>
      </c>
      <c r="L74" s="56" t="str">
        <f>IF(AND(L$8&gt;='작업 관리'!$E74,L$8&lt;='작업 관리'!$F74),IF('작업 관리'!$I74="마일스톤",3,IF('작업 관리'!$G74="완료",2,1)),"")</f>
        <v/>
      </c>
      <c r="M74" s="56" t="str">
        <f>IF(AND(M$8&gt;='작업 관리'!$E74,M$8&lt;='작업 관리'!$F74),IF('작업 관리'!$I74="마일스톤",3,IF('작업 관리'!$G74="완료",2,1)),"")</f>
        <v/>
      </c>
      <c r="N74" s="55" t="str">
        <f>IF(AND(N$8&gt;='작업 관리'!$E74,N$8&lt;='작업 관리'!$F74),IF('작업 관리'!$I74="마일스톤",3,IF('작업 관리'!$G74="완료",2,1)),"")</f>
        <v/>
      </c>
      <c r="O74" s="55" t="str">
        <f>IF(AND(O$8&gt;='작업 관리'!$E74,O$8&lt;='작업 관리'!$F74),IF('작업 관리'!$I74="마일스톤",3,IF('작업 관리'!$G74="완료",2,1)),"")</f>
        <v/>
      </c>
      <c r="P74" s="56" t="str">
        <f>IF(AND(P$8&gt;='작업 관리'!$E74,P$8&lt;='작업 관리'!$F74),IF('작업 관리'!$I74="마일스톤",3,IF('작업 관리'!$G74="완료",2,1)),"")</f>
        <v/>
      </c>
      <c r="Q74" s="56" t="str">
        <f>IF(AND(Q$8&gt;='작업 관리'!$E74,Q$8&lt;='작업 관리'!$F74),IF('작업 관리'!$I74="마일스톤",3,IF('작업 관리'!$G74="완료",2,1)),"")</f>
        <v/>
      </c>
      <c r="R74" s="56">
        <f>IF(AND(R$8&gt;='작업 관리'!$E74,R$8&lt;='작업 관리'!$F74),IF('작업 관리'!$I74="마일스톤",3,IF('작업 관리'!$G74="완료",2,1)),"")</f>
        <v>1</v>
      </c>
      <c r="S74" s="56" t="str">
        <f>IF(AND(S$8&gt;='작업 관리'!$E74,S$8&lt;='작업 관리'!$F74),IF('작업 관리'!$I74="마일스톤",3,IF('작업 관리'!$G74="완료",2,1)),"")</f>
        <v/>
      </c>
    </row>
    <row r="75" spans="1:19" ht="48" customHeight="1">
      <c r="A75" s="33" t="str">
        <f>'작업 관리'!A75</f>
        <v>6.5</v>
      </c>
      <c r="B75" s="20" t="str">
        <f>'작업 관리'!C75</f>
        <v>발표 리허설과 질의응답 준비</v>
      </c>
      <c r="C75" s="23" t="str">
        <f>'작업 관리'!D75</f>
        <v>오준탁</v>
      </c>
      <c r="D75" s="56" t="str">
        <f>IF(AND(D$8&gt;='작업 관리'!$E75,D$8&lt;='작업 관리'!$F75),IF('작업 관리'!$I75="마일스톤",3,IF('작업 관리'!$G75="완료",2,1)),"")</f>
        <v/>
      </c>
      <c r="E75" s="56" t="str">
        <f>IF(AND(E$8&gt;='작업 관리'!$E75,E$8&lt;='작업 관리'!$F75),IF('작업 관리'!$I75="마일스톤",3,IF('작업 관리'!$G75="완료",2,1)),"")</f>
        <v/>
      </c>
      <c r="F75" s="56" t="str">
        <f>IF(AND(F$8&gt;='작업 관리'!$E75,F$8&lt;='작업 관리'!$F75),IF('작업 관리'!$I75="마일스톤",3,IF('작업 관리'!$G75="완료",2,1)),"")</f>
        <v/>
      </c>
      <c r="G75" s="55" t="str">
        <f>IF(AND(G$8&gt;='작업 관리'!$E75,G$8&lt;='작업 관리'!$F75),IF('작업 관리'!$I75="마일스톤",3,IF('작업 관리'!$G75="완료",2,1)),"")</f>
        <v/>
      </c>
      <c r="H75" s="55" t="str">
        <f>IF(AND(H$8&gt;='작업 관리'!$E75,H$8&lt;='작업 관리'!$F75),IF('작업 관리'!$I75="마일스톤",3,IF('작업 관리'!$G75="완료",2,1)),"")</f>
        <v/>
      </c>
      <c r="I75" s="56" t="str">
        <f>IF(AND(I$8&gt;='작업 관리'!$E75,I$8&lt;='작업 관리'!$F75),IF('작업 관리'!$I75="마일스톤",3,IF('작업 관리'!$G75="완료",2,1)),"")</f>
        <v/>
      </c>
      <c r="J75" s="56" t="str">
        <f>IF(AND(J$8&gt;='작업 관리'!$E75,J$8&lt;='작업 관리'!$F75),IF('작업 관리'!$I75="마일스톤",3,IF('작업 관리'!$G75="완료",2,1)),"")</f>
        <v/>
      </c>
      <c r="K75" s="56" t="str">
        <f>IF(AND(K$8&gt;='작업 관리'!$E75,K$8&lt;='작업 관리'!$F75),IF('작업 관리'!$I75="마일스톤",3,IF('작업 관리'!$G75="완료",2,1)),"")</f>
        <v/>
      </c>
      <c r="L75" s="56" t="str">
        <f>IF(AND(L$8&gt;='작업 관리'!$E75,L$8&lt;='작업 관리'!$F75),IF('작업 관리'!$I75="마일스톤",3,IF('작업 관리'!$G75="완료",2,1)),"")</f>
        <v/>
      </c>
      <c r="M75" s="56" t="str">
        <f>IF(AND(M$8&gt;='작업 관리'!$E75,M$8&lt;='작업 관리'!$F75),IF('작업 관리'!$I75="마일스톤",3,IF('작업 관리'!$G75="완료",2,1)),"")</f>
        <v/>
      </c>
      <c r="N75" s="55" t="str">
        <f>IF(AND(N$8&gt;='작업 관리'!$E75,N$8&lt;='작업 관리'!$F75),IF('작업 관리'!$I75="마일스톤",3,IF('작업 관리'!$G75="완료",2,1)),"")</f>
        <v/>
      </c>
      <c r="O75" s="55" t="str">
        <f>IF(AND(O$8&gt;='작업 관리'!$E75,O$8&lt;='작업 관리'!$F75),IF('작업 관리'!$I75="마일스톤",3,IF('작업 관리'!$G75="완료",2,1)),"")</f>
        <v/>
      </c>
      <c r="P75" s="56" t="str">
        <f>IF(AND(P$8&gt;='작업 관리'!$E75,P$8&lt;='작업 관리'!$F75),IF('작업 관리'!$I75="마일스톤",3,IF('작업 관리'!$G75="완료",2,1)),"")</f>
        <v/>
      </c>
      <c r="Q75" s="56" t="str">
        <f>IF(AND(Q$8&gt;='작업 관리'!$E75,Q$8&lt;='작업 관리'!$F75),IF('작업 관리'!$I75="마일스톤",3,IF('작업 관리'!$G75="완료",2,1)),"")</f>
        <v/>
      </c>
      <c r="R75" s="56">
        <f>IF(AND(R$8&gt;='작업 관리'!$E75,R$8&lt;='작업 관리'!$F75),IF('작업 관리'!$I75="마일스톤",3,IF('작업 관리'!$G75="완료",2,1)),"")</f>
        <v>1</v>
      </c>
      <c r="S75" s="56" t="str">
        <f>IF(AND(S$8&gt;='작업 관리'!$E75,S$8&lt;='작업 관리'!$F75),IF('작업 관리'!$I75="마일스톤",3,IF('작업 관리'!$G75="완료",2,1)),"")</f>
        <v/>
      </c>
    </row>
    <row r="76" spans="1:19" ht="48" customHeight="1">
      <c r="A76" s="33" t="str">
        <f>'작업 관리'!A76</f>
        <v>6.M5</v>
      </c>
      <c r="B76" s="20" t="str">
        <f>'작업 관리'!C76</f>
        <v>최종 산출물 제출</v>
      </c>
      <c r="C76" s="23" t="str">
        <f>'작업 관리'!D76</f>
        <v>김동혁</v>
      </c>
      <c r="D76" s="56" t="str">
        <f>IF(AND(D$8&gt;='작업 관리'!$E76,D$8&lt;='작업 관리'!$F76),IF('작업 관리'!$I76="마일스톤",3,IF('작업 관리'!$G76="완료",2,1)),"")</f>
        <v/>
      </c>
      <c r="E76" s="56" t="str">
        <f>IF(AND(E$8&gt;='작업 관리'!$E76,E$8&lt;='작업 관리'!$F76),IF('작업 관리'!$I76="마일스톤",3,IF('작업 관리'!$G76="완료",2,1)),"")</f>
        <v/>
      </c>
      <c r="F76" s="56" t="str">
        <f>IF(AND(F$8&gt;='작업 관리'!$E76,F$8&lt;='작업 관리'!$F76),IF('작업 관리'!$I76="마일스톤",3,IF('작업 관리'!$G76="완료",2,1)),"")</f>
        <v/>
      </c>
      <c r="G76" s="55" t="str">
        <f>IF(AND(G$8&gt;='작업 관리'!$E76,G$8&lt;='작업 관리'!$F76),IF('작업 관리'!$I76="마일스톤",3,IF('작업 관리'!$G76="완료",2,1)),"")</f>
        <v/>
      </c>
      <c r="H76" s="55" t="str">
        <f>IF(AND(H$8&gt;='작업 관리'!$E76,H$8&lt;='작업 관리'!$F76),IF('작업 관리'!$I76="마일스톤",3,IF('작업 관리'!$G76="완료",2,1)),"")</f>
        <v/>
      </c>
      <c r="I76" s="56" t="str">
        <f>IF(AND(I$8&gt;='작업 관리'!$E76,I$8&lt;='작업 관리'!$F76),IF('작업 관리'!$I76="마일스톤",3,IF('작업 관리'!$G76="완료",2,1)),"")</f>
        <v/>
      </c>
      <c r="J76" s="56" t="str">
        <f>IF(AND(J$8&gt;='작업 관리'!$E76,J$8&lt;='작업 관리'!$F76),IF('작업 관리'!$I76="마일스톤",3,IF('작업 관리'!$G76="완료",2,1)),"")</f>
        <v/>
      </c>
      <c r="K76" s="56" t="str">
        <f>IF(AND(K$8&gt;='작업 관리'!$E76,K$8&lt;='작업 관리'!$F76),IF('작업 관리'!$I76="마일스톤",3,IF('작업 관리'!$G76="완료",2,1)),"")</f>
        <v/>
      </c>
      <c r="L76" s="56" t="str">
        <f>IF(AND(L$8&gt;='작업 관리'!$E76,L$8&lt;='작업 관리'!$F76),IF('작업 관리'!$I76="마일스톤",3,IF('작업 관리'!$G76="완료",2,1)),"")</f>
        <v/>
      </c>
      <c r="M76" s="56" t="str">
        <f>IF(AND(M$8&gt;='작업 관리'!$E76,M$8&lt;='작업 관리'!$F76),IF('작업 관리'!$I76="마일스톤",3,IF('작업 관리'!$G76="완료",2,1)),"")</f>
        <v/>
      </c>
      <c r="N76" s="55" t="str">
        <f>IF(AND(N$8&gt;='작업 관리'!$E76,N$8&lt;='작업 관리'!$F76),IF('작업 관리'!$I76="마일스톤",3,IF('작업 관리'!$G76="완료",2,1)),"")</f>
        <v/>
      </c>
      <c r="O76" s="55" t="str">
        <f>IF(AND(O$8&gt;='작업 관리'!$E76,O$8&lt;='작업 관리'!$F76),IF('작업 관리'!$I76="마일스톤",3,IF('작업 관리'!$G76="완료",2,1)),"")</f>
        <v/>
      </c>
      <c r="P76" s="56" t="str">
        <f>IF(AND(P$8&gt;='작업 관리'!$E76,P$8&lt;='작업 관리'!$F76),IF('작업 관리'!$I76="마일스톤",3,IF('작업 관리'!$G76="완료",2,1)),"")</f>
        <v/>
      </c>
      <c r="Q76" s="56" t="str">
        <f>IF(AND(Q$8&gt;='작업 관리'!$E76,Q$8&lt;='작업 관리'!$F76),IF('작업 관리'!$I76="마일스톤",3,IF('작업 관리'!$G76="완료",2,1)),"")</f>
        <v/>
      </c>
      <c r="R76" s="56" t="str">
        <f>IF(AND(R$8&gt;='작업 관리'!$E76,R$8&lt;='작업 관리'!$F76),IF('작업 관리'!$I76="마일스톤",3,IF('작업 관리'!$G76="완료",2,1)),"")</f>
        <v/>
      </c>
      <c r="S76" s="56">
        <f>IF(AND(S$8&gt;='작업 관리'!$E76,S$8&lt;='작업 관리'!$F76),IF('작업 관리'!$I76="마일스톤",3,IF('작업 관리'!$G76="완료",2,1)),"")</f>
        <v>3</v>
      </c>
    </row>
    <row r="77" spans="1:19" ht="48" customHeight="1">
      <c r="A77" s="33" t="str">
        <f>'작업 관리'!A77</f>
        <v>6.M6</v>
      </c>
      <c r="B77" s="20" t="str">
        <f>'작업 관리'!C77</f>
        <v>프로젝트 발표</v>
      </c>
      <c r="C77" s="23" t="str">
        <f>'작업 관리'!D77</f>
        <v>오준탁</v>
      </c>
      <c r="D77" s="56" t="str">
        <f>IF(AND(D$8&gt;='작업 관리'!$E77,D$8&lt;='작업 관리'!$F77),IF('작업 관리'!$I77="마일스톤",3,IF('작업 관리'!$G77="완료",2,1)),"")</f>
        <v/>
      </c>
      <c r="E77" s="56" t="str">
        <f>IF(AND(E$8&gt;='작업 관리'!$E77,E$8&lt;='작업 관리'!$F77),IF('작업 관리'!$I77="마일스톤",3,IF('작업 관리'!$G77="완료",2,1)),"")</f>
        <v/>
      </c>
      <c r="F77" s="56" t="str">
        <f>IF(AND(F$8&gt;='작업 관리'!$E77,F$8&lt;='작업 관리'!$F77),IF('작업 관리'!$I77="마일스톤",3,IF('작업 관리'!$G77="완료",2,1)),"")</f>
        <v/>
      </c>
      <c r="G77" s="55" t="str">
        <f>IF(AND(G$8&gt;='작업 관리'!$E77,G$8&lt;='작업 관리'!$F77),IF('작업 관리'!$I77="마일스톤",3,IF('작업 관리'!$G77="완료",2,1)),"")</f>
        <v/>
      </c>
      <c r="H77" s="55" t="str">
        <f>IF(AND(H$8&gt;='작업 관리'!$E77,H$8&lt;='작업 관리'!$F77),IF('작업 관리'!$I77="마일스톤",3,IF('작업 관리'!$G77="완료",2,1)),"")</f>
        <v/>
      </c>
      <c r="I77" s="56" t="str">
        <f>IF(AND(I$8&gt;='작업 관리'!$E77,I$8&lt;='작업 관리'!$F77),IF('작업 관리'!$I77="마일스톤",3,IF('작업 관리'!$G77="완료",2,1)),"")</f>
        <v/>
      </c>
      <c r="J77" s="56" t="str">
        <f>IF(AND(J$8&gt;='작업 관리'!$E77,J$8&lt;='작업 관리'!$F77),IF('작업 관리'!$I77="마일스톤",3,IF('작업 관리'!$G77="완료",2,1)),"")</f>
        <v/>
      </c>
      <c r="K77" s="56" t="str">
        <f>IF(AND(K$8&gt;='작업 관리'!$E77,K$8&lt;='작업 관리'!$F77),IF('작업 관리'!$I77="마일스톤",3,IF('작업 관리'!$G77="완료",2,1)),"")</f>
        <v/>
      </c>
      <c r="L77" s="56" t="str">
        <f>IF(AND(L$8&gt;='작업 관리'!$E77,L$8&lt;='작업 관리'!$F77),IF('작업 관리'!$I77="마일스톤",3,IF('작업 관리'!$G77="완료",2,1)),"")</f>
        <v/>
      </c>
      <c r="M77" s="56" t="str">
        <f>IF(AND(M$8&gt;='작업 관리'!$E77,M$8&lt;='작업 관리'!$F77),IF('작업 관리'!$I77="마일스톤",3,IF('작업 관리'!$G77="완료",2,1)),"")</f>
        <v/>
      </c>
      <c r="N77" s="55" t="str">
        <f>IF(AND(N$8&gt;='작업 관리'!$E77,N$8&lt;='작업 관리'!$F77),IF('작업 관리'!$I77="마일스톤",3,IF('작업 관리'!$G77="완료",2,1)),"")</f>
        <v/>
      </c>
      <c r="O77" s="55" t="str">
        <f>IF(AND(O$8&gt;='작업 관리'!$E77,O$8&lt;='작업 관리'!$F77),IF('작업 관리'!$I77="마일스톤",3,IF('작업 관리'!$G77="완료",2,1)),"")</f>
        <v/>
      </c>
      <c r="P77" s="56" t="str">
        <f>IF(AND(P$8&gt;='작업 관리'!$E77,P$8&lt;='작업 관리'!$F77),IF('작업 관리'!$I77="마일스톤",3,IF('작업 관리'!$G77="완료",2,1)),"")</f>
        <v/>
      </c>
      <c r="Q77" s="56" t="str">
        <f>IF(AND(Q$8&gt;='작업 관리'!$E77,Q$8&lt;='작업 관리'!$F77),IF('작업 관리'!$I77="마일스톤",3,IF('작업 관리'!$G77="완료",2,1)),"")</f>
        <v/>
      </c>
      <c r="R77" s="56" t="str">
        <f>IF(AND(R$8&gt;='작업 관리'!$E77,R$8&lt;='작업 관리'!$F77),IF('작업 관리'!$I77="마일스톤",3,IF('작업 관리'!$G77="완료",2,1)),"")</f>
        <v/>
      </c>
      <c r="S77" s="56">
        <f>IF(AND(S$8&gt;='작업 관리'!$E77,S$8&lt;='작업 관리'!$F77),IF('작업 관리'!$I77="마일스톤",3,IF('작업 관리'!$G77="완료",2,1)),"")</f>
        <v>3</v>
      </c>
    </row>
  </sheetData>
  <phoneticPr fontId="20" type="noConversion"/>
  <conditionalFormatting sqref="D9:S64">
    <cfRule type="cellIs" dxfId="5" priority="2" operator="equal">
      <formula>1</formula>
    </cfRule>
    <cfRule type="cellIs" dxfId="4" priority="3" operator="equal">
      <formula>2</formula>
    </cfRule>
    <cfRule type="cellIs" dxfId="3" priority="4" operator="equal">
      <formula>3</formula>
    </cfRule>
  </conditionalFormatting>
  <conditionalFormatting sqref="D65:S77">
    <cfRule type="cellIs" dxfId="2" priority="5" operator="equal">
      <formula>1</formula>
    </cfRule>
    <cfRule type="cellIs" dxfId="1" priority="6" operator="equal">
      <formula>2</formula>
    </cfRule>
    <cfRule type="cellIs" dxfId="0" priority="7" operator="equal">
      <formula>3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2D8DE"/>
  </sheetPr>
  <dimension ref="A1:J77"/>
  <sheetViews>
    <sheetView showGridLines="0" tabSelected="1" zoomScale="55" zoomScaleNormal="55" workbookViewId="0">
      <pane xSplit="2" ySplit="8" topLeftCell="C112" activePane="bottomRight" state="frozen"/>
      <selection pane="topRight" activeCell="C1" sqref="C1"/>
      <selection pane="bottomLeft" activeCell="A9" sqref="A9"/>
      <selection pane="bottomRight" activeCell="A3" sqref="A3"/>
    </sheetView>
  </sheetViews>
  <sheetFormatPr defaultColWidth="8.6640625" defaultRowHeight="14.4"/>
  <cols>
    <col min="1" max="1" width="7.6640625" customWidth="1"/>
    <col min="2" max="2" width="33.6640625" customWidth="1"/>
    <col min="3" max="3" width="13.109375" customWidth="1"/>
    <col min="4" max="4" width="14.44140625" customWidth="1"/>
    <col min="5" max="5" width="23.6640625" customWidth="1"/>
    <col min="6" max="6" width="66" customWidth="1"/>
    <col min="7" max="10" width="30" customWidth="1"/>
  </cols>
  <sheetData>
    <row r="1" spans="1:10" ht="13.5" customHeight="1">
      <c r="A1" s="4"/>
      <c r="B1" s="4"/>
      <c r="C1" s="4"/>
      <c r="D1" s="4"/>
      <c r="E1" s="4"/>
      <c r="F1" s="4"/>
      <c r="G1" s="4"/>
    </row>
    <row r="2" spans="1:10" ht="33.75" customHeight="1">
      <c r="A2" s="5" t="s">
        <v>584</v>
      </c>
      <c r="B2" s="4"/>
      <c r="C2" s="4"/>
      <c r="D2" s="4"/>
      <c r="E2" s="4"/>
      <c r="F2" s="4"/>
      <c r="G2" s="4"/>
    </row>
    <row r="3" spans="1:10" ht="7.5" customHeight="1">
      <c r="A3" s="6"/>
      <c r="B3" s="6"/>
      <c r="C3" s="6"/>
      <c r="D3" s="6"/>
      <c r="E3" s="6"/>
      <c r="F3" s="6"/>
      <c r="G3" s="6"/>
    </row>
    <row r="4" spans="1:10" ht="15" customHeight="1">
      <c r="A4" s="24" t="s">
        <v>220</v>
      </c>
      <c r="B4" s="4"/>
      <c r="C4" s="4"/>
      <c r="D4" s="4"/>
      <c r="E4" s="4"/>
      <c r="F4" s="4"/>
      <c r="G4" s="4"/>
    </row>
    <row r="5" spans="1:10" ht="15" customHeight="1">
      <c r="A5" s="24" t="s">
        <v>221</v>
      </c>
      <c r="B5" s="4"/>
      <c r="C5" s="4"/>
      <c r="D5" s="4"/>
      <c r="E5" s="4"/>
      <c r="F5" s="4"/>
      <c r="G5" s="4"/>
    </row>
    <row r="6" spans="1:10" ht="15" customHeight="1">
      <c r="A6" s="24" t="s">
        <v>222</v>
      </c>
      <c r="B6" s="4"/>
      <c r="C6" s="4"/>
      <c r="D6" s="4"/>
      <c r="E6" s="4"/>
      <c r="F6" s="4"/>
      <c r="G6" s="4"/>
    </row>
    <row r="7" spans="1:10" ht="6" customHeight="1">
      <c r="A7" s="4"/>
      <c r="B7" s="4"/>
      <c r="C7" s="4"/>
      <c r="D7" s="4"/>
      <c r="E7" s="4"/>
      <c r="F7" s="4"/>
      <c r="G7" s="4"/>
    </row>
    <row r="8" spans="1:10" ht="30.75" customHeight="1">
      <c r="A8" s="14" t="s">
        <v>42</v>
      </c>
      <c r="B8" s="15" t="s">
        <v>73</v>
      </c>
      <c r="C8" s="15" t="s">
        <v>223</v>
      </c>
      <c r="D8" s="15" t="s">
        <v>44</v>
      </c>
      <c r="E8" s="15" t="s">
        <v>45</v>
      </c>
      <c r="F8" s="15" t="s">
        <v>224</v>
      </c>
      <c r="G8" s="16" t="s">
        <v>225</v>
      </c>
      <c r="H8" s="15" t="s">
        <v>226</v>
      </c>
      <c r="I8" s="15" t="s">
        <v>227</v>
      </c>
      <c r="J8" s="16" t="s">
        <v>228</v>
      </c>
    </row>
    <row r="9" spans="1:10" ht="85.5" customHeight="1">
      <c r="A9" s="57" t="s">
        <v>78</v>
      </c>
      <c r="B9" s="58" t="str">
        <f>INDEX('작업 관리'!$C$9:$C$77,MATCH($A9,'작업 관리'!$A$9:$A$77,0))</f>
        <v>기획안 v1.0 확정본 정리</v>
      </c>
      <c r="C9" s="58" t="s">
        <v>83</v>
      </c>
      <c r="D9" s="58" t="s">
        <v>229</v>
      </c>
      <c r="E9" s="59" t="s">
        <v>230</v>
      </c>
      <c r="F9" s="58" t="s">
        <v>231</v>
      </c>
      <c r="G9" s="60" t="s">
        <v>232</v>
      </c>
      <c r="H9" s="59"/>
      <c r="I9" s="59"/>
      <c r="J9" s="59"/>
    </row>
    <row r="10" spans="1:10" ht="85.5" customHeight="1">
      <c r="A10" s="61" t="s">
        <v>81</v>
      </c>
      <c r="B10" s="62" t="str">
        <f>INDEX('작업 관리'!$C$9:$C$77,MATCH($A10,'작업 관리'!$A$9:$A$77,0))</f>
        <v>기획 발표자료 v0.2 초안 보존</v>
      </c>
      <c r="C10" s="62" t="s">
        <v>98</v>
      </c>
      <c r="D10" s="63" t="s">
        <v>78</v>
      </c>
      <c r="E10" s="63" t="s">
        <v>233</v>
      </c>
      <c r="F10" s="62" t="s">
        <v>234</v>
      </c>
      <c r="G10" s="64" t="s">
        <v>235</v>
      </c>
      <c r="H10" s="59"/>
      <c r="I10" s="59"/>
      <c r="J10" s="59"/>
    </row>
    <row r="11" spans="1:10" ht="85.5" customHeight="1">
      <c r="A11" s="57" t="s">
        <v>84</v>
      </c>
      <c r="B11" s="59" t="str">
        <f>INDEX('작업 관리'!$C$9:$C$77,MATCH($A11,'작업 관리'!$A$9:$A$77,0))</f>
        <v>범위와 역할 분담 합의</v>
      </c>
      <c r="C11" s="58" t="s">
        <v>236</v>
      </c>
      <c r="D11" s="59" t="s">
        <v>78</v>
      </c>
      <c r="E11" s="58" t="s">
        <v>237</v>
      </c>
      <c r="F11" s="59" t="s">
        <v>238</v>
      </c>
      <c r="G11" s="64" t="s">
        <v>239</v>
      </c>
      <c r="H11" s="59" t="s">
        <v>240</v>
      </c>
      <c r="I11" s="59"/>
      <c r="J11" s="59" t="s">
        <v>241</v>
      </c>
    </row>
    <row r="12" spans="1:10" ht="85.5" customHeight="1">
      <c r="A12" s="61" t="s">
        <v>86</v>
      </c>
      <c r="B12" s="63" t="str">
        <f>INDEX('작업 관리'!$C$9:$C$77,MATCH($A12,'작업 관리'!$A$9:$A$77,0))</f>
        <v>확정 4개 업종과 수집 범위 점검</v>
      </c>
      <c r="C12" s="62" t="s">
        <v>9</v>
      </c>
      <c r="D12" s="63" t="s">
        <v>78</v>
      </c>
      <c r="E12" s="62" t="s">
        <v>242</v>
      </c>
      <c r="F12" s="62" t="s">
        <v>243</v>
      </c>
      <c r="G12" s="60" t="s">
        <v>580</v>
      </c>
      <c r="H12" s="59" t="s">
        <v>244</v>
      </c>
      <c r="I12" s="59" t="s">
        <v>245</v>
      </c>
      <c r="J12" s="59" t="s">
        <v>246</v>
      </c>
    </row>
    <row r="13" spans="1:10" ht="115.5" customHeight="1">
      <c r="A13" s="57" t="s">
        <v>90</v>
      </c>
      <c r="B13" s="59" t="str">
        <f>INDEX('작업 관리'!$C$9:$C$77,MATCH($A13,'작업 관리'!$A$9:$A$77,0))</f>
        <v>재무비율·계정·업종 계산 기준 정의</v>
      </c>
      <c r="C13" s="58" t="s">
        <v>88</v>
      </c>
      <c r="D13" s="59" t="s">
        <v>78</v>
      </c>
      <c r="E13" s="58" t="s">
        <v>247</v>
      </c>
      <c r="F13" s="58" t="s">
        <v>248</v>
      </c>
      <c r="G13" s="60" t="s">
        <v>249</v>
      </c>
      <c r="H13" s="59" t="s">
        <v>250</v>
      </c>
      <c r="I13" s="59" t="s">
        <v>251</v>
      </c>
      <c r="J13" s="59" t="s">
        <v>252</v>
      </c>
    </row>
    <row r="14" spans="1:10" ht="85.5" customHeight="1">
      <c r="A14" s="61" t="s">
        <v>92</v>
      </c>
      <c r="B14" s="63" t="str">
        <f>INDEX('작업 관리'!$C$9:$C$77,MATCH($A14,'작업 관리'!$A$9:$A$77,0))</f>
        <v>상환·연체 위험 사건과 12개월 라벨 정의</v>
      </c>
      <c r="C14" s="62" t="s">
        <v>88</v>
      </c>
      <c r="D14" s="63" t="s">
        <v>78</v>
      </c>
      <c r="E14" s="62" t="s">
        <v>253</v>
      </c>
      <c r="F14" s="62" t="s">
        <v>254</v>
      </c>
      <c r="G14" s="64" t="s">
        <v>581</v>
      </c>
      <c r="H14" s="59" t="s">
        <v>255</v>
      </c>
      <c r="I14" s="59" t="s">
        <v>256</v>
      </c>
      <c r="J14" s="59" t="s">
        <v>257</v>
      </c>
    </row>
    <row r="15" spans="1:10" ht="150" customHeight="1">
      <c r="A15" s="57" t="s">
        <v>94</v>
      </c>
      <c r="B15" s="59" t="str">
        <f>INDEX('작업 관리'!$C$9:$C$77,MATCH($A15,'작업 관리'!$A$9:$A$77,0))</f>
        <v>기획 발표자료에 최신 범위 반영</v>
      </c>
      <c r="C15" s="58" t="s">
        <v>98</v>
      </c>
      <c r="D15" s="59" t="s">
        <v>78</v>
      </c>
      <c r="E15" s="58" t="s">
        <v>258</v>
      </c>
      <c r="F15" s="58" t="s">
        <v>259</v>
      </c>
      <c r="G15" s="64"/>
      <c r="H15" s="59" t="s">
        <v>260</v>
      </c>
      <c r="I15" s="59"/>
      <c r="J15" s="59" t="s">
        <v>261</v>
      </c>
    </row>
    <row r="16" spans="1:10" ht="85.5" customHeight="1">
      <c r="A16" s="61" t="s">
        <v>96</v>
      </c>
      <c r="B16" s="63" t="str">
        <f>INDEX('작업 관리'!$C$9:$C$77,MATCH($A16,'작업 관리'!$A$9:$A$77,0))</f>
        <v>기능 검증·원문 정답지 표본 선정</v>
      </c>
      <c r="C16" s="62" t="s">
        <v>88</v>
      </c>
      <c r="D16" s="63" t="s">
        <v>86</v>
      </c>
      <c r="E16" s="62" t="s">
        <v>262</v>
      </c>
      <c r="F16" s="62" t="s">
        <v>263</v>
      </c>
      <c r="G16" s="64" t="s">
        <v>264</v>
      </c>
      <c r="H16" s="59" t="s">
        <v>265</v>
      </c>
      <c r="I16" s="59" t="s">
        <v>266</v>
      </c>
      <c r="J16" s="59" t="s">
        <v>267</v>
      </c>
    </row>
    <row r="17" spans="1:10" ht="132.75" customHeight="1">
      <c r="A17" s="57" t="s">
        <v>46</v>
      </c>
      <c r="B17" s="59" t="str">
        <f>INDEX('작업 관리'!$C$9:$C$77,MATCH($A17,'작업 관리'!$A$9:$A$77,0))</f>
        <v>업종·데이터·모델 설계 기준 확정</v>
      </c>
      <c r="C17" s="58" t="s">
        <v>236</v>
      </c>
      <c r="D17" s="59" t="s">
        <v>268</v>
      </c>
      <c r="E17" s="59" t="s">
        <v>269</v>
      </c>
      <c r="F17" s="59" t="s">
        <v>270</v>
      </c>
      <c r="G17" s="64" t="s">
        <v>239</v>
      </c>
      <c r="H17" s="59" t="s">
        <v>271</v>
      </c>
      <c r="I17" s="59"/>
      <c r="J17" s="59" t="s">
        <v>272</v>
      </c>
    </row>
    <row r="18" spans="1:10" ht="354" customHeight="1">
      <c r="A18" s="61" t="s">
        <v>100</v>
      </c>
      <c r="B18" s="63" t="str">
        <f>INDEX('작업 관리'!$C$9:$C$77,MATCH($A18,'작업 관리'!$A$9:$A$77,0))</f>
        <v>v2.0·v0.0.4 변경 및 미정 의사결정 정리</v>
      </c>
      <c r="C18" s="62" t="s">
        <v>236</v>
      </c>
      <c r="D18" s="63" t="s">
        <v>78</v>
      </c>
      <c r="E18" s="62" t="s">
        <v>273</v>
      </c>
      <c r="F18" s="62" t="s">
        <v>274</v>
      </c>
      <c r="G18" s="64"/>
      <c r="H18" s="59" t="s">
        <v>275</v>
      </c>
      <c r="I18" s="59" t="s">
        <v>276</v>
      </c>
      <c r="J18" s="59" t="s">
        <v>277</v>
      </c>
    </row>
    <row r="19" spans="1:10" ht="99" customHeight="1">
      <c r="A19" s="57" t="s">
        <v>102</v>
      </c>
      <c r="B19" s="59" t="str">
        <f>INDEX('작업 관리'!$C$9:$C$77,MATCH($A19,'작업 관리'!$A$9:$A$77,0))</f>
        <v>6개 판단 축·업종 지표·단계 가설 검토</v>
      </c>
      <c r="C19" s="58" t="s">
        <v>278</v>
      </c>
      <c r="D19" s="59" t="s">
        <v>100</v>
      </c>
      <c r="E19" s="59" t="s">
        <v>279</v>
      </c>
      <c r="F19" s="58" t="s">
        <v>280</v>
      </c>
      <c r="G19" s="64"/>
      <c r="H19" s="59" t="s">
        <v>281</v>
      </c>
      <c r="I19" s="59" t="s">
        <v>282</v>
      </c>
      <c r="J19" s="59" t="s">
        <v>283</v>
      </c>
    </row>
    <row r="20" spans="1:10" ht="85.5" customHeight="1">
      <c r="A20" s="61" t="s">
        <v>104</v>
      </c>
      <c r="B20" s="63" t="str">
        <f>INDEX('작업 관리'!$C$9:$C$77,MATCH($A20,'작업 관리'!$A$9:$A$77,0))</f>
        <v>위험 사건 이력 수집과 원문 대조</v>
      </c>
      <c r="C20" s="62" t="s">
        <v>98</v>
      </c>
      <c r="D20" s="63" t="s">
        <v>92</v>
      </c>
      <c r="E20" s="62" t="s">
        <v>284</v>
      </c>
      <c r="F20" s="62" t="s">
        <v>285</v>
      </c>
      <c r="G20" s="64"/>
      <c r="H20" s="59" t="s">
        <v>286</v>
      </c>
      <c r="I20" s="59" t="s">
        <v>256</v>
      </c>
      <c r="J20" s="59" t="s">
        <v>257</v>
      </c>
    </row>
    <row r="21" spans="1:10" ht="85.5" customHeight="1">
      <c r="A21" s="57" t="s">
        <v>106</v>
      </c>
      <c r="B21" s="59" t="str">
        <f>INDEX('작업 관리'!$C$9:$C$77,MATCH($A21,'작업 관리'!$A$9:$A$77,0))</f>
        <v>재무·공시 수집과 출처 저장</v>
      </c>
      <c r="C21" s="58" t="s">
        <v>128</v>
      </c>
      <c r="D21" s="59" t="s">
        <v>46</v>
      </c>
      <c r="E21" s="58" t="s">
        <v>287</v>
      </c>
      <c r="F21" s="58" t="s">
        <v>288</v>
      </c>
      <c r="G21" s="64"/>
      <c r="H21" s="59" t="s">
        <v>289</v>
      </c>
      <c r="I21" s="59" t="s">
        <v>290</v>
      </c>
      <c r="J21" s="59" t="s">
        <v>291</v>
      </c>
    </row>
    <row r="22" spans="1:10" ht="85.5" customHeight="1">
      <c r="A22" s="61" t="s">
        <v>108</v>
      </c>
      <c r="B22" s="63" t="str">
        <f>INDEX('작업 관리'!$C$9:$C$77,MATCH($A22,'작업 관리'!$A$9:$A$77,0))</f>
        <v>계정 매핑과 비교 기준 정렬</v>
      </c>
      <c r="C22" s="62" t="s">
        <v>83</v>
      </c>
      <c r="D22" s="63" t="s">
        <v>46</v>
      </c>
      <c r="E22" s="62" t="s">
        <v>292</v>
      </c>
      <c r="F22" s="62" t="s">
        <v>293</v>
      </c>
      <c r="G22" s="64"/>
      <c r="H22" s="59" t="s">
        <v>294</v>
      </c>
      <c r="I22" s="59" t="s">
        <v>295</v>
      </c>
      <c r="J22" s="59" t="s">
        <v>252</v>
      </c>
    </row>
    <row r="23" spans="1:10" ht="85.5" customHeight="1">
      <c r="A23" s="57" t="s">
        <v>110</v>
      </c>
      <c r="B23" s="59" t="str">
        <f>INDEX('작업 관리'!$C$9:$C$77,MATCH($A23,'작업 관리'!$A$9:$A$77,0))</f>
        <v>과거 재무·주석 학습자료 수집</v>
      </c>
      <c r="C23" s="58" t="s">
        <v>88</v>
      </c>
      <c r="D23" s="59" t="s">
        <v>46</v>
      </c>
      <c r="E23" s="58" t="s">
        <v>296</v>
      </c>
      <c r="F23" s="58" t="s">
        <v>297</v>
      </c>
      <c r="G23" s="64"/>
      <c r="H23" s="59" t="s">
        <v>298</v>
      </c>
      <c r="I23" s="59" t="s">
        <v>299</v>
      </c>
      <c r="J23" s="59" t="s">
        <v>300</v>
      </c>
    </row>
    <row r="24" spans="1:10" ht="150" customHeight="1">
      <c r="A24" s="61" t="s">
        <v>112</v>
      </c>
      <c r="B24" s="63" t="str">
        <f>INDEX('작업 관리'!$C$9:$C$77,MATCH($A24,'작업 관리'!$A$9:$A$77,0))</f>
        <v>원문 대조 정답지 작성</v>
      </c>
      <c r="C24" s="62" t="s">
        <v>301</v>
      </c>
      <c r="D24" s="63" t="s">
        <v>302</v>
      </c>
      <c r="E24" s="62" t="s">
        <v>303</v>
      </c>
      <c r="F24" s="62" t="s">
        <v>304</v>
      </c>
      <c r="G24" s="64"/>
      <c r="H24" s="59" t="s">
        <v>305</v>
      </c>
      <c r="I24" s="59" t="s">
        <v>306</v>
      </c>
      <c r="J24" s="59" t="s">
        <v>267</v>
      </c>
    </row>
    <row r="25" spans="1:10" ht="85.5" customHeight="1">
      <c r="A25" s="57" t="s">
        <v>114</v>
      </c>
      <c r="B25" s="59" t="str">
        <f>INDEX('작업 관리'!$C$9:$C$77,MATCH($A25,'작업 관리'!$A$9:$A$77,0))</f>
        <v>주석 구간·교차참조·추출 표본 확보</v>
      </c>
      <c r="C25" s="58" t="s">
        <v>98</v>
      </c>
      <c r="D25" s="59" t="s">
        <v>106</v>
      </c>
      <c r="E25" s="58" t="s">
        <v>307</v>
      </c>
      <c r="F25" s="58" t="s">
        <v>308</v>
      </c>
      <c r="G25" s="64"/>
      <c r="H25" s="59" t="s">
        <v>309</v>
      </c>
      <c r="I25" s="59" t="s">
        <v>310</v>
      </c>
      <c r="J25" s="59" t="s">
        <v>311</v>
      </c>
    </row>
    <row r="26" spans="1:10" ht="85.5" customHeight="1">
      <c r="A26" s="61" t="s">
        <v>116</v>
      </c>
      <c r="B26" s="63" t="str">
        <f>INDEX('작업 관리'!$C$9:$C$77,MATCH($A26,'작업 관리'!$A$9:$A$77,0))</f>
        <v>12개월 라벨과 관측기간 구성</v>
      </c>
      <c r="C26" s="62" t="s">
        <v>98</v>
      </c>
      <c r="D26" s="63" t="s">
        <v>312</v>
      </c>
      <c r="E26" s="62" t="s">
        <v>313</v>
      </c>
      <c r="F26" s="62" t="s">
        <v>314</v>
      </c>
      <c r="G26" s="64"/>
      <c r="H26" s="59" t="s">
        <v>315</v>
      </c>
      <c r="I26" s="59" t="s">
        <v>316</v>
      </c>
      <c r="J26" s="59" t="s">
        <v>257</v>
      </c>
    </row>
    <row r="27" spans="1:10" ht="99" customHeight="1">
      <c r="A27" s="57" t="s">
        <v>118</v>
      </c>
      <c r="B27" s="59" t="str">
        <f>INDEX('작업 관리'!$C$9:$C$77,MATCH($A27,'작업 관리'!$A$9:$A$77,0))</f>
        <v>업종별 필수 계정 확보율 점검</v>
      </c>
      <c r="C27" s="58" t="s">
        <v>317</v>
      </c>
      <c r="D27" s="59" t="s">
        <v>318</v>
      </c>
      <c r="E27" s="58" t="s">
        <v>319</v>
      </c>
      <c r="F27" s="59" t="s">
        <v>320</v>
      </c>
      <c r="G27" s="64"/>
      <c r="H27" s="59" t="s">
        <v>321</v>
      </c>
      <c r="I27" s="59" t="s">
        <v>322</v>
      </c>
      <c r="J27" s="59" t="s">
        <v>323</v>
      </c>
    </row>
    <row r="28" spans="1:10" ht="115.5" customHeight="1">
      <c r="A28" s="61" t="s">
        <v>120</v>
      </c>
      <c r="B28" s="63" t="str">
        <f>INDEX('작업 관리'!$C$9:$C$77,MATCH($A28,'작업 관리'!$A$9:$A$77,0))</f>
        <v>주석 원문 구간·추출 검출 상태 저장</v>
      </c>
      <c r="C28" s="62" t="s">
        <v>278</v>
      </c>
      <c r="D28" s="63" t="s">
        <v>324</v>
      </c>
      <c r="E28" s="62" t="s">
        <v>325</v>
      </c>
      <c r="F28" s="62" t="s">
        <v>326</v>
      </c>
      <c r="G28" s="64"/>
      <c r="H28" s="59" t="s">
        <v>327</v>
      </c>
      <c r="I28" s="59" t="s">
        <v>328</v>
      </c>
      <c r="J28" s="59" t="s">
        <v>329</v>
      </c>
    </row>
    <row r="29" spans="1:10" ht="85.5" customHeight="1">
      <c r="A29" s="57" t="s">
        <v>122</v>
      </c>
      <c r="B29" s="59" t="str">
        <f>INDEX('작업 관리'!$C$9:$C$77,MATCH($A29,'작업 관리'!$A$9:$A$77,0))</f>
        <v>데이터 정합성과 결측 점검</v>
      </c>
      <c r="C29" s="58" t="s">
        <v>9</v>
      </c>
      <c r="D29" s="59" t="s">
        <v>330</v>
      </c>
      <c r="E29" s="58" t="s">
        <v>331</v>
      </c>
      <c r="F29" s="58" t="s">
        <v>332</v>
      </c>
      <c r="G29" s="64"/>
      <c r="H29" s="59" t="s">
        <v>333</v>
      </c>
      <c r="I29" s="59" t="s">
        <v>334</v>
      </c>
      <c r="J29" s="59" t="s">
        <v>335</v>
      </c>
    </row>
    <row r="30" spans="1:10" ht="85.5" customHeight="1">
      <c r="A30" s="61" t="s">
        <v>124</v>
      </c>
      <c r="B30" s="63" t="str">
        <f>INDEX('작업 관리'!$C$9:$C$77,MATCH($A30,'작업 관리'!$A$9:$A$77,0))</f>
        <v>업종 비교 표본 확보와 정리</v>
      </c>
      <c r="C30" s="62" t="s">
        <v>9</v>
      </c>
      <c r="D30" s="63" t="s">
        <v>122</v>
      </c>
      <c r="E30" s="62" t="s">
        <v>336</v>
      </c>
      <c r="F30" s="62" t="s">
        <v>337</v>
      </c>
      <c r="G30" s="64"/>
      <c r="H30" s="59" t="s">
        <v>338</v>
      </c>
      <c r="I30" s="59" t="s">
        <v>339</v>
      </c>
      <c r="J30" s="59" t="s">
        <v>340</v>
      </c>
    </row>
    <row r="31" spans="1:10" ht="85.5" customHeight="1">
      <c r="A31" s="57" t="s">
        <v>126</v>
      </c>
      <c r="B31" s="59" t="str">
        <f>INDEX('작업 관리'!$C$9:$C$77,MATCH($A31,'작업 관리'!$A$9:$A$77,0))</f>
        <v>기업 검색과 업종 표시·필터</v>
      </c>
      <c r="C31" s="58" t="s">
        <v>9</v>
      </c>
      <c r="D31" s="59" t="s">
        <v>46</v>
      </c>
      <c r="E31" s="58" t="s">
        <v>341</v>
      </c>
      <c r="F31" s="58" t="s">
        <v>342</v>
      </c>
      <c r="G31" s="64"/>
      <c r="H31" s="59" t="s">
        <v>343</v>
      </c>
      <c r="I31" s="59" t="s">
        <v>245</v>
      </c>
      <c r="J31" s="59" t="s">
        <v>246</v>
      </c>
    </row>
    <row r="32" spans="1:10" ht="85.5" customHeight="1">
      <c r="A32" s="61" t="s">
        <v>129</v>
      </c>
      <c r="B32" s="63" t="str">
        <f>INDEX('작업 관리'!$C$9:$C$77,MATCH($A32,'작업 관리'!$A$9:$A$77,0))</f>
        <v>변동 기여도와 재무비율 계산</v>
      </c>
      <c r="C32" s="62" t="s">
        <v>128</v>
      </c>
      <c r="D32" s="63" t="s">
        <v>46</v>
      </c>
      <c r="E32" s="62" t="s">
        <v>344</v>
      </c>
      <c r="F32" s="62" t="s">
        <v>345</v>
      </c>
      <c r="G32" s="64"/>
      <c r="H32" s="59" t="s">
        <v>346</v>
      </c>
      <c r="I32" s="59" t="s">
        <v>347</v>
      </c>
      <c r="J32" s="59"/>
    </row>
    <row r="33" spans="1:10" ht="85.5" customHeight="1">
      <c r="A33" s="57" t="s">
        <v>131</v>
      </c>
      <c r="B33" s="59" t="str">
        <f>INDEX('작업 관리'!$C$9:$C$77,MATCH($A33,'작업 관리'!$A$9:$A$77,0))</f>
        <v>겸업 판정·업종 변경 근거 기록</v>
      </c>
      <c r="C33" s="58" t="s">
        <v>301</v>
      </c>
      <c r="D33" s="59" t="s">
        <v>348</v>
      </c>
      <c r="E33" s="59" t="s">
        <v>349</v>
      </c>
      <c r="F33" s="58" t="s">
        <v>350</v>
      </c>
      <c r="G33" s="64"/>
      <c r="H33" s="59" t="s">
        <v>343</v>
      </c>
      <c r="I33" s="59" t="s">
        <v>245</v>
      </c>
      <c r="J33" s="59" t="s">
        <v>246</v>
      </c>
    </row>
    <row r="34" spans="1:10" ht="150" customHeight="1">
      <c r="A34" s="61" t="s">
        <v>133</v>
      </c>
      <c r="B34" s="63" t="str">
        <f>INDEX('작업 관리'!$C$9:$C$77,MATCH($A34,'작업 관리'!$A$9:$A$77,0))</f>
        <v>핵심 재무 대시보드와 차트</v>
      </c>
      <c r="C34" s="62" t="s">
        <v>88</v>
      </c>
      <c r="D34" s="63" t="s">
        <v>351</v>
      </c>
      <c r="E34" s="62" t="s">
        <v>352</v>
      </c>
      <c r="F34" s="62" t="s">
        <v>353</v>
      </c>
      <c r="G34" s="64"/>
      <c r="H34" s="59" t="s">
        <v>354</v>
      </c>
      <c r="I34" s="59" t="s">
        <v>355</v>
      </c>
      <c r="J34" s="59" t="s">
        <v>356</v>
      </c>
    </row>
    <row r="35" spans="1:10" ht="115.5" customHeight="1">
      <c r="A35" s="57" t="s">
        <v>135</v>
      </c>
      <c r="B35" s="59" t="str">
        <f>INDEX('작업 관리'!$C$9:$C$77,MATCH($A35,'작업 관리'!$A$9:$A$77,0))</f>
        <v>차입 상환능력·영업순환 지표 계산</v>
      </c>
      <c r="C35" s="58" t="s">
        <v>357</v>
      </c>
      <c r="D35" s="59" t="s">
        <v>358</v>
      </c>
      <c r="E35" s="58" t="s">
        <v>359</v>
      </c>
      <c r="F35" s="58" t="s">
        <v>360</v>
      </c>
      <c r="G35" s="64"/>
      <c r="H35" s="59" t="s">
        <v>361</v>
      </c>
      <c r="I35" s="59" t="s">
        <v>362</v>
      </c>
      <c r="J35" s="59" t="s">
        <v>252</v>
      </c>
    </row>
    <row r="36" spans="1:10" ht="132.75" customHeight="1">
      <c r="A36" s="61" t="s">
        <v>137</v>
      </c>
      <c r="B36" s="63" t="str">
        <f>INDEX('작업 관리'!$C$9:$C$77,MATCH($A36,'작업 관리'!$A$9:$A$77,0))</f>
        <v>확인 체크와 재무 검토 기록 초안</v>
      </c>
      <c r="C36" s="62" t="s">
        <v>83</v>
      </c>
      <c r="D36" s="63" t="s">
        <v>133</v>
      </c>
      <c r="E36" s="62" t="s">
        <v>363</v>
      </c>
      <c r="F36" s="62" t="s">
        <v>364</v>
      </c>
      <c r="G36" s="64"/>
      <c r="H36" s="59" t="s">
        <v>365</v>
      </c>
      <c r="I36" s="59" t="s">
        <v>366</v>
      </c>
      <c r="J36" s="59" t="s">
        <v>367</v>
      </c>
    </row>
    <row r="37" spans="1:10" ht="99" customHeight="1">
      <c r="A37" s="57" t="s">
        <v>139</v>
      </c>
      <c r="B37" s="59" t="str">
        <f>INDEX('작업 관리'!$C$9:$C$77,MATCH($A37,'작업 관리'!$A$9:$A$77,0))</f>
        <v>업종별 확인 기준 검토</v>
      </c>
      <c r="C37" s="58" t="s">
        <v>98</v>
      </c>
      <c r="D37" s="59" t="s">
        <v>368</v>
      </c>
      <c r="E37" s="58" t="s">
        <v>369</v>
      </c>
      <c r="F37" s="58" t="s">
        <v>370</v>
      </c>
      <c r="G37" s="64"/>
      <c r="H37" s="59" t="s">
        <v>281</v>
      </c>
      <c r="I37" s="59" t="s">
        <v>282</v>
      </c>
      <c r="J37" s="59" t="s">
        <v>283</v>
      </c>
    </row>
    <row r="38" spans="1:10" ht="99" customHeight="1">
      <c r="A38" s="61" t="s">
        <v>141</v>
      </c>
      <c r="B38" s="63" t="str">
        <f>INDEX('작업 관리'!$C$9:$C$77,MATCH($A38,'작업 관리'!$A$9:$A$77,0))</f>
        <v>업종 위험 지표·징후 단계 판정 연결</v>
      </c>
      <c r="C38" s="62" t="s">
        <v>371</v>
      </c>
      <c r="D38" s="63" t="s">
        <v>372</v>
      </c>
      <c r="E38" s="62" t="s">
        <v>373</v>
      </c>
      <c r="F38" s="63" t="s">
        <v>374</v>
      </c>
      <c r="G38" s="64"/>
      <c r="H38" s="59" t="s">
        <v>281</v>
      </c>
      <c r="I38" s="59" t="s">
        <v>282</v>
      </c>
      <c r="J38" s="59" t="s">
        <v>283</v>
      </c>
    </row>
    <row r="39" spans="1:10" ht="85.5" customHeight="1">
      <c r="A39" s="57" t="s">
        <v>143</v>
      </c>
      <c r="B39" s="59" t="str">
        <f>INDEX('작업 관리'!$C$9:$C$77,MATCH($A39,'작업 관리'!$A$9:$A$77,0))</f>
        <v>직접 입력·출처·재계산 경로 검증</v>
      </c>
      <c r="C39" s="58" t="s">
        <v>278</v>
      </c>
      <c r="D39" s="59" t="s">
        <v>375</v>
      </c>
      <c r="E39" s="58" t="s">
        <v>376</v>
      </c>
      <c r="F39" s="58" t="s">
        <v>377</v>
      </c>
      <c r="G39" s="64"/>
      <c r="H39" s="59" t="s">
        <v>378</v>
      </c>
      <c r="I39" s="59" t="s">
        <v>379</v>
      </c>
      <c r="J39" s="59" t="s">
        <v>291</v>
      </c>
    </row>
    <row r="40" spans="1:10" ht="132.75" customHeight="1">
      <c r="A40" s="61" t="s">
        <v>145</v>
      </c>
      <c r="B40" s="63" t="str">
        <f>INDEX('작업 관리'!$C$9:$C$77,MATCH($A40,'작업 관리'!$A$9:$A$77,0))</f>
        <v>기존 주석 화면에 업종 위험 패널·차트 연결</v>
      </c>
      <c r="C40" s="62" t="s">
        <v>380</v>
      </c>
      <c r="D40" s="63" t="s">
        <v>381</v>
      </c>
      <c r="E40" s="63" t="s">
        <v>382</v>
      </c>
      <c r="F40" s="62" t="s">
        <v>383</v>
      </c>
      <c r="G40" s="64"/>
      <c r="H40" s="59" t="s">
        <v>384</v>
      </c>
      <c r="I40" s="59" t="s">
        <v>385</v>
      </c>
      <c r="J40" s="59" t="s">
        <v>386</v>
      </c>
    </row>
    <row r="41" spans="1:10" ht="99" customHeight="1">
      <c r="A41" s="57" t="s">
        <v>147</v>
      </c>
      <c r="B41" s="59" t="str">
        <f>INDEX('작업 관리'!$C$9:$C$77,MATCH($A41,'작업 관리'!$A$9:$A$77,0))</f>
        <v>현금흐름 괴리와 업종 비교 분석</v>
      </c>
      <c r="C41" s="58" t="s">
        <v>83</v>
      </c>
      <c r="D41" s="59" t="s">
        <v>387</v>
      </c>
      <c r="E41" s="58" t="s">
        <v>388</v>
      </c>
      <c r="F41" s="58" t="s">
        <v>389</v>
      </c>
      <c r="G41" s="64"/>
      <c r="H41" s="59" t="s">
        <v>390</v>
      </c>
      <c r="I41" s="59" t="s">
        <v>391</v>
      </c>
      <c r="J41" s="59" t="s">
        <v>340</v>
      </c>
    </row>
    <row r="42" spans="1:10" ht="132.75" customHeight="1">
      <c r="A42" s="61" t="s">
        <v>149</v>
      </c>
      <c r="B42" s="63" t="str">
        <f>INDEX('작업 관리'!$C$9:$C$77,MATCH($A42,'작업 관리'!$A$9:$A$77,0))</f>
        <v>핵심 분석과 확인 항목 통합</v>
      </c>
      <c r="C42" s="62" t="s">
        <v>88</v>
      </c>
      <c r="D42" s="63" t="s">
        <v>392</v>
      </c>
      <c r="E42" s="62" t="s">
        <v>393</v>
      </c>
      <c r="F42" s="62" t="s">
        <v>394</v>
      </c>
      <c r="G42" s="64"/>
      <c r="H42" s="59" t="s">
        <v>395</v>
      </c>
      <c r="I42" s="59" t="s">
        <v>396</v>
      </c>
      <c r="J42" s="59"/>
    </row>
    <row r="43" spans="1:10" ht="132.75" customHeight="1">
      <c r="A43" s="57" t="s">
        <v>47</v>
      </c>
      <c r="B43" s="59" t="str">
        <f>INDEX('작업 관리'!$C$9:$C$77,MATCH($A43,'작업 관리'!$A$9:$A$77,0))</f>
        <v>핵심 재무 기능 통합 완료 판단</v>
      </c>
      <c r="C43" s="58" t="s">
        <v>397</v>
      </c>
      <c r="D43" s="59" t="s">
        <v>398</v>
      </c>
      <c r="E43" s="58" t="s">
        <v>399</v>
      </c>
      <c r="F43" s="58" t="s">
        <v>400</v>
      </c>
      <c r="G43" s="64"/>
      <c r="H43" s="59" t="s">
        <v>401</v>
      </c>
      <c r="I43" s="59" t="s">
        <v>402</v>
      </c>
      <c r="J43" s="59"/>
    </row>
    <row r="44" spans="1:10" ht="132.75" customHeight="1">
      <c r="A44" s="61" t="s">
        <v>152</v>
      </c>
      <c r="B44" s="63" t="str">
        <f>INDEX('작업 관리'!$C$9:$C$77,MATCH($A44,'작업 관리'!$A$9:$A$77,0))</f>
        <v>주석 요약 형식과 확인 안내 정의</v>
      </c>
      <c r="C44" s="62" t="s">
        <v>9</v>
      </c>
      <c r="D44" s="63" t="s">
        <v>403</v>
      </c>
      <c r="E44" s="62" t="s">
        <v>404</v>
      </c>
      <c r="F44" s="62" t="s">
        <v>405</v>
      </c>
      <c r="G44" s="64"/>
      <c r="H44" s="59" t="s">
        <v>406</v>
      </c>
      <c r="I44" s="59" t="s">
        <v>407</v>
      </c>
      <c r="J44" s="59" t="s">
        <v>408</v>
      </c>
    </row>
    <row r="45" spans="1:10" ht="132.75" customHeight="1">
      <c r="A45" s="57" t="s">
        <v>154</v>
      </c>
      <c r="B45" s="59" t="str">
        <f>INDEX('작업 관리'!$C$9:$C$77,MATCH($A45,'작업 관리'!$A$9:$A$77,0))</f>
        <v>주석 위험 항목 추출과 AI 요약</v>
      </c>
      <c r="C45" s="58" t="s">
        <v>128</v>
      </c>
      <c r="D45" s="59" t="s">
        <v>152</v>
      </c>
      <c r="E45" s="58" t="s">
        <v>409</v>
      </c>
      <c r="F45" s="58" t="s">
        <v>410</v>
      </c>
      <c r="G45" s="64"/>
      <c r="H45" s="59" t="s">
        <v>411</v>
      </c>
      <c r="I45" s="59" t="s">
        <v>412</v>
      </c>
      <c r="J45" s="59" t="s">
        <v>408</v>
      </c>
    </row>
    <row r="46" spans="1:10" ht="115.5" customHeight="1">
      <c r="A46" s="61" t="s">
        <v>156</v>
      </c>
      <c r="B46" s="63" t="str">
        <f>INDEX('작업 관리'!$C$9:$C$77,MATCH($A46,'작업 관리'!$A$9:$A$77,0))</f>
        <v>공통 주석 6범주 추출 규칙 구현</v>
      </c>
      <c r="C46" s="62" t="s">
        <v>278</v>
      </c>
      <c r="D46" s="63" t="s">
        <v>413</v>
      </c>
      <c r="E46" s="62" t="s">
        <v>414</v>
      </c>
      <c r="F46" s="62" t="s">
        <v>415</v>
      </c>
      <c r="G46" s="64"/>
      <c r="H46" s="59" t="s">
        <v>416</v>
      </c>
      <c r="I46" s="59" t="s">
        <v>417</v>
      </c>
      <c r="J46" s="59" t="s">
        <v>418</v>
      </c>
    </row>
    <row r="47" spans="1:10" ht="85.5" customHeight="1">
      <c r="A47" s="57" t="s">
        <v>158</v>
      </c>
      <c r="B47" s="59" t="str">
        <f>INDEX('작업 관리'!$C$9:$C$77,MATCH($A47,'작업 관리'!$A$9:$A$77,0))</f>
        <v>뉴스 수집 방식과 후보 기사 확보</v>
      </c>
      <c r="C47" s="58" t="s">
        <v>98</v>
      </c>
      <c r="D47" s="59" t="s">
        <v>96</v>
      </c>
      <c r="E47" s="58" t="s">
        <v>419</v>
      </c>
      <c r="F47" s="58" t="s">
        <v>420</v>
      </c>
      <c r="G47" s="64"/>
      <c r="H47" s="59" t="s">
        <v>421</v>
      </c>
      <c r="I47" s="59" t="s">
        <v>422</v>
      </c>
      <c r="J47" s="59" t="s">
        <v>423</v>
      </c>
    </row>
    <row r="48" spans="1:10" ht="132.75" customHeight="1">
      <c r="A48" s="61" t="s">
        <v>160</v>
      </c>
      <c r="B48" s="63" t="str">
        <f>INDEX('작업 관리'!$C$9:$C$77,MATCH($A48,'작업 관리'!$A$9:$A$77,0))</f>
        <v>AI 요약 원문 대조 검증</v>
      </c>
      <c r="C48" s="62" t="s">
        <v>88</v>
      </c>
      <c r="D48" s="63" t="s">
        <v>154</v>
      </c>
      <c r="E48" s="62" t="s">
        <v>424</v>
      </c>
      <c r="F48" s="62" t="s">
        <v>425</v>
      </c>
      <c r="G48" s="64"/>
      <c r="H48" s="59" t="s">
        <v>426</v>
      </c>
      <c r="I48" s="59" t="s">
        <v>427</v>
      </c>
      <c r="J48" s="59" t="s">
        <v>428</v>
      </c>
    </row>
    <row r="49" spans="1:10" ht="99" customHeight="1">
      <c r="A49" s="57" t="s">
        <v>162</v>
      </c>
      <c r="B49" s="59" t="str">
        <f>INDEX('작업 관리'!$C$9:$C$77,MATCH($A49,'작업 관리'!$A$9:$A$77,0))</f>
        <v>4개 업종별 주석 추가 추출 규칙 구현</v>
      </c>
      <c r="C49" s="58" t="s">
        <v>429</v>
      </c>
      <c r="D49" s="59" t="s">
        <v>156</v>
      </c>
      <c r="E49" s="58" t="s">
        <v>430</v>
      </c>
      <c r="F49" s="58" t="s">
        <v>431</v>
      </c>
      <c r="G49" s="64"/>
      <c r="H49" s="59" t="s">
        <v>432</v>
      </c>
      <c r="I49" s="59" t="s">
        <v>433</v>
      </c>
      <c r="J49" s="59" t="s">
        <v>434</v>
      </c>
    </row>
    <row r="50" spans="1:10" ht="85.5" customHeight="1">
      <c r="A50" s="61" t="s">
        <v>164</v>
      </c>
      <c r="B50" s="63" t="str">
        <f>INDEX('작업 관리'!$C$9:$C$77,MATCH($A50,'작업 관리'!$A$9:$A$77,0))</f>
        <v>뉴스 관련성과 누락 정답지</v>
      </c>
      <c r="C50" s="62" t="s">
        <v>83</v>
      </c>
      <c r="D50" s="63" t="s">
        <v>158</v>
      </c>
      <c r="E50" s="62" t="s">
        <v>435</v>
      </c>
      <c r="F50" s="62" t="s">
        <v>436</v>
      </c>
      <c r="G50" s="64"/>
      <c r="H50" s="59" t="s">
        <v>421</v>
      </c>
      <c r="I50" s="59" t="s">
        <v>422</v>
      </c>
      <c r="J50" s="59" t="s">
        <v>437</v>
      </c>
    </row>
    <row r="51" spans="1:10" ht="85.5" customHeight="1">
      <c r="A51" s="57" t="s">
        <v>166</v>
      </c>
      <c r="B51" s="59" t="str">
        <f>INDEX('작업 관리'!$C$9:$C$77,MATCH($A51,'작업 관리'!$A$9:$A$77,0))</f>
        <v>주석 요약과 원문 근거 화면 연결</v>
      </c>
      <c r="C51" s="58" t="s">
        <v>9</v>
      </c>
      <c r="D51" s="59" t="s">
        <v>438</v>
      </c>
      <c r="E51" s="58" t="s">
        <v>439</v>
      </c>
      <c r="F51" s="58" t="s">
        <v>440</v>
      </c>
      <c r="G51" s="64"/>
      <c r="H51" s="59" t="s">
        <v>441</v>
      </c>
      <c r="I51" s="59" t="s">
        <v>442</v>
      </c>
      <c r="J51" s="59" t="s">
        <v>443</v>
      </c>
    </row>
    <row r="52" spans="1:10" ht="99" customHeight="1">
      <c r="A52" s="61" t="s">
        <v>168</v>
      </c>
      <c r="B52" s="63" t="str">
        <f>INDEX('작업 관리'!$C$9:$C$77,MATCH($A52,'작업 관리'!$A$9:$A$77,0))</f>
        <v>업종별 추출 정밀도·재현율·미검출 원인 검수</v>
      </c>
      <c r="C52" s="62" t="s">
        <v>444</v>
      </c>
      <c r="D52" s="63" t="s">
        <v>445</v>
      </c>
      <c r="E52" s="62" t="s">
        <v>446</v>
      </c>
      <c r="F52" s="62" t="s">
        <v>447</v>
      </c>
      <c r="G52" s="64"/>
      <c r="H52" s="59" t="s">
        <v>448</v>
      </c>
      <c r="I52" s="59" t="s">
        <v>449</v>
      </c>
      <c r="J52" s="59" t="s">
        <v>450</v>
      </c>
    </row>
    <row r="53" spans="1:10" ht="85.5" customHeight="1">
      <c r="A53" s="57" t="s">
        <v>170</v>
      </c>
      <c r="B53" s="59" t="str">
        <f>INDEX('작업 관리'!$C$9:$C$77,MATCH($A53,'작업 관리'!$A$9:$A$77,0))</f>
        <v>관련 뉴스 요약과 원문 링크 보완</v>
      </c>
      <c r="C53" s="58" t="s">
        <v>317</v>
      </c>
      <c r="D53" s="59" t="s">
        <v>164</v>
      </c>
      <c r="E53" s="58" t="s">
        <v>451</v>
      </c>
      <c r="F53" s="58" t="s">
        <v>452</v>
      </c>
      <c r="G53" s="64"/>
      <c r="H53" s="59" t="s">
        <v>453</v>
      </c>
      <c r="I53" s="59" t="s">
        <v>454</v>
      </c>
      <c r="J53" s="59" t="s">
        <v>437</v>
      </c>
    </row>
    <row r="54" spans="1:10" ht="132.75" customHeight="1">
      <c r="A54" s="61" t="s">
        <v>48</v>
      </c>
      <c r="B54" s="63" t="str">
        <f>INDEX('작업 관리'!$C$9:$C$77,MATCH($A54,'작업 관리'!$A$9:$A$77,0))</f>
        <v>주석 요약 검증과 제공 형식 확정</v>
      </c>
      <c r="C54" s="62" t="s">
        <v>455</v>
      </c>
      <c r="D54" s="63" t="s">
        <v>456</v>
      </c>
      <c r="E54" s="62" t="s">
        <v>457</v>
      </c>
      <c r="F54" s="62" t="s">
        <v>458</v>
      </c>
      <c r="G54" s="64"/>
      <c r="H54" s="59" t="s">
        <v>426</v>
      </c>
      <c r="I54" s="59" t="s">
        <v>459</v>
      </c>
      <c r="J54" s="59" t="s">
        <v>428</v>
      </c>
    </row>
    <row r="55" spans="1:10" ht="85.5" customHeight="1">
      <c r="A55" s="57" t="s">
        <v>173</v>
      </c>
      <c r="B55" s="59" t="str">
        <f>INDEX('작업 관리'!$C$9:$C$77,MATCH($A55,'작업 관리'!$A$9:$A$77,0))</f>
        <v>재무지표 기준 모델 학습</v>
      </c>
      <c r="C55" s="58" t="s">
        <v>9</v>
      </c>
      <c r="D55" s="59" t="s">
        <v>460</v>
      </c>
      <c r="E55" s="58" t="s">
        <v>461</v>
      </c>
      <c r="F55" s="58" t="s">
        <v>462</v>
      </c>
      <c r="G55" s="64"/>
      <c r="H55" s="59" t="s">
        <v>463</v>
      </c>
      <c r="I55" s="59" t="s">
        <v>464</v>
      </c>
      <c r="J55" s="59" t="s">
        <v>465</v>
      </c>
    </row>
    <row r="56" spans="1:10" ht="150" customHeight="1">
      <c r="A56" s="61" t="s">
        <v>175</v>
      </c>
      <c r="B56" s="63" t="str">
        <f>INDEX('작업 관리'!$C$9:$C$77,MATCH($A56,'작업 관리'!$A$9:$A$77,0))</f>
        <v>주석 위험 항목의 수치 변수화</v>
      </c>
      <c r="C56" s="62" t="s">
        <v>317</v>
      </c>
      <c r="D56" s="63" t="s">
        <v>466</v>
      </c>
      <c r="E56" s="62" t="s">
        <v>467</v>
      </c>
      <c r="F56" s="62" t="s">
        <v>468</v>
      </c>
      <c r="G56" s="64"/>
      <c r="H56" s="59" t="s">
        <v>469</v>
      </c>
      <c r="I56" s="59" t="s">
        <v>470</v>
      </c>
      <c r="J56" s="59" t="s">
        <v>471</v>
      </c>
    </row>
    <row r="57" spans="1:10" ht="85.5" customHeight="1">
      <c r="A57" s="57" t="s">
        <v>177</v>
      </c>
      <c r="B57" s="59" t="str">
        <f>INDEX('작업 관리'!$C$9:$C$77,MATCH($A57,'작업 관리'!$A$9:$A$77,0))</f>
        <v>재무·주석 결합 위험 사건 모델 학습</v>
      </c>
      <c r="C57" s="58" t="s">
        <v>9</v>
      </c>
      <c r="D57" s="59" t="s">
        <v>472</v>
      </c>
      <c r="E57" s="58" t="s">
        <v>473</v>
      </c>
      <c r="F57" s="58" t="s">
        <v>474</v>
      </c>
      <c r="G57" s="64"/>
      <c r="H57" s="59" t="s">
        <v>475</v>
      </c>
      <c r="I57" s="59" t="s">
        <v>476</v>
      </c>
      <c r="J57" s="59" t="s">
        <v>477</v>
      </c>
    </row>
    <row r="58" spans="1:10" ht="99" customHeight="1">
      <c r="A58" s="61" t="s">
        <v>179</v>
      </c>
      <c r="B58" s="63" t="str">
        <f>INDEX('작업 관리'!$C$9:$C$77,MATCH($A58,'작업 관리'!$A$9:$A$77,0))</f>
        <v>모델 비교와 예측 확률 보정</v>
      </c>
      <c r="C58" s="62" t="s">
        <v>98</v>
      </c>
      <c r="D58" s="63" t="s">
        <v>177</v>
      </c>
      <c r="E58" s="62" t="s">
        <v>478</v>
      </c>
      <c r="F58" s="62" t="s">
        <v>479</v>
      </c>
      <c r="G58" s="64"/>
      <c r="H58" s="59" t="s">
        <v>480</v>
      </c>
      <c r="I58" s="59" t="s">
        <v>481</v>
      </c>
      <c r="J58" s="59" t="s">
        <v>482</v>
      </c>
    </row>
    <row r="59" spans="1:10" ht="85.5" customHeight="1">
      <c r="A59" s="57" t="s">
        <v>181</v>
      </c>
      <c r="B59" s="59" t="str">
        <f>INDEX('작업 관리'!$C$9:$C$77,MATCH($A59,'작업 관리'!$A$9:$A$77,0))</f>
        <v>위험 사건 예측 확률·근거·보류 화면</v>
      </c>
      <c r="C59" s="58" t="s">
        <v>380</v>
      </c>
      <c r="D59" s="59" t="s">
        <v>177</v>
      </c>
      <c r="E59" s="58" t="s">
        <v>483</v>
      </c>
      <c r="F59" s="59" t="s">
        <v>484</v>
      </c>
      <c r="G59" s="64"/>
      <c r="H59" s="59" t="s">
        <v>485</v>
      </c>
      <c r="I59" s="59" t="s">
        <v>486</v>
      </c>
      <c r="J59" s="59" t="s">
        <v>487</v>
      </c>
    </row>
    <row r="60" spans="1:10" ht="132.75" customHeight="1">
      <c r="A60" s="61" t="s">
        <v>183</v>
      </c>
      <c r="B60" s="63" t="str">
        <f>INDEX('작업 관리'!$C$9:$C$77,MATCH($A60,'작업 관리'!$A$9:$A$77,0))</f>
        <v>예측 결과를 검토 기록에 연결</v>
      </c>
      <c r="C60" s="62" t="s">
        <v>83</v>
      </c>
      <c r="D60" s="63" t="s">
        <v>488</v>
      </c>
      <c r="E60" s="62" t="s">
        <v>489</v>
      </c>
      <c r="F60" s="62" t="s">
        <v>490</v>
      </c>
      <c r="G60" s="64"/>
      <c r="H60" s="59" t="s">
        <v>491</v>
      </c>
      <c r="I60" s="59" t="s">
        <v>492</v>
      </c>
      <c r="J60" s="59" t="s">
        <v>487</v>
      </c>
    </row>
    <row r="61" spans="1:10" ht="115.5" customHeight="1">
      <c r="A61" s="57" t="s">
        <v>185</v>
      </c>
      <c r="B61" s="59" t="str">
        <f>INDEX('작업 관리'!$C$9:$C$77,MATCH($A61,'작업 관리'!$A$9:$A$77,0))</f>
        <v>모델 성능·정보 누출·해석 검증</v>
      </c>
      <c r="C61" s="58" t="s">
        <v>98</v>
      </c>
      <c r="D61" s="59" t="s">
        <v>179</v>
      </c>
      <c r="E61" s="58" t="s">
        <v>493</v>
      </c>
      <c r="F61" s="58" t="s">
        <v>494</v>
      </c>
      <c r="G61" s="64"/>
      <c r="H61" s="59" t="s">
        <v>495</v>
      </c>
      <c r="I61" s="59" t="s">
        <v>496</v>
      </c>
      <c r="J61" s="59" t="s">
        <v>497</v>
      </c>
    </row>
    <row r="62" spans="1:10" ht="115.5" customHeight="1">
      <c r="A62" s="61" t="s">
        <v>49</v>
      </c>
      <c r="B62" s="63" t="str">
        <f>INDEX('작업 관리'!$C$9:$C$77,MATCH($A62,'작업 관리'!$A$9:$A$77,0))</f>
        <v>위험 사건 모델·연동 검증 기준 고정</v>
      </c>
      <c r="C62" s="62" t="s">
        <v>498</v>
      </c>
      <c r="D62" s="63" t="s">
        <v>499</v>
      </c>
      <c r="E62" s="62" t="s">
        <v>500</v>
      </c>
      <c r="F62" s="62" t="s">
        <v>501</v>
      </c>
      <c r="G62" s="64"/>
      <c r="H62" s="59" t="s">
        <v>502</v>
      </c>
      <c r="I62" s="59" t="s">
        <v>503</v>
      </c>
      <c r="J62" s="59" t="s">
        <v>504</v>
      </c>
    </row>
    <row r="63" spans="1:10" ht="85.5" customHeight="1">
      <c r="A63" s="57" t="s">
        <v>188</v>
      </c>
      <c r="B63" s="59" t="str">
        <f>INDEX('작업 관리'!$C$9:$C$77,MATCH($A63,'작업 관리'!$A$9:$A$77,0))</f>
        <v>접근 제어·인증키·배포 점검</v>
      </c>
      <c r="C63" s="58" t="s">
        <v>9</v>
      </c>
      <c r="D63" s="59" t="s">
        <v>505</v>
      </c>
      <c r="E63" s="58" t="s">
        <v>506</v>
      </c>
      <c r="F63" s="59" t="s">
        <v>507</v>
      </c>
      <c r="G63" s="64"/>
      <c r="H63" s="59" t="s">
        <v>508</v>
      </c>
      <c r="I63" s="59" t="s">
        <v>509</v>
      </c>
      <c r="J63" s="59" t="s">
        <v>510</v>
      </c>
    </row>
    <row r="64" spans="1:10" ht="201" customHeight="1">
      <c r="A64" s="61" t="s">
        <v>190</v>
      </c>
      <c r="B64" s="63" t="str">
        <f>INDEX('작업 관리'!$C$9:$C$77,MATCH($A64,'작업 관리'!$A$9:$A$77,0))</f>
        <v>선정 기업별 기능·모델 통합 검증</v>
      </c>
      <c r="C64" s="62" t="s">
        <v>9</v>
      </c>
      <c r="D64" s="63" t="s">
        <v>511</v>
      </c>
      <c r="E64" s="62" t="s">
        <v>512</v>
      </c>
      <c r="F64" s="63" t="s">
        <v>513</v>
      </c>
      <c r="G64" s="64"/>
      <c r="H64" s="59" t="s">
        <v>514</v>
      </c>
      <c r="I64" s="59" t="s">
        <v>515</v>
      </c>
      <c r="J64" s="59" t="s">
        <v>516</v>
      </c>
    </row>
    <row r="65" spans="1:10" ht="132.75" customHeight="1">
      <c r="A65" s="61" t="s">
        <v>192</v>
      </c>
      <c r="B65" s="63" t="str">
        <f>INDEX('작업 관리'!$C$9:$C$77,MATCH($A65,'작업 관리'!$A$9:$A$77,0))</f>
        <v>현직자 피드백 수렴</v>
      </c>
      <c r="C65" s="62" t="s">
        <v>98</v>
      </c>
      <c r="D65" s="63" t="s">
        <v>188</v>
      </c>
      <c r="E65" s="62" t="s">
        <v>517</v>
      </c>
      <c r="F65" s="63" t="s">
        <v>518</v>
      </c>
      <c r="G65" s="64"/>
      <c r="H65" s="59" t="s">
        <v>519</v>
      </c>
      <c r="I65" s="59" t="s">
        <v>520</v>
      </c>
      <c r="J65" s="59" t="s">
        <v>521</v>
      </c>
    </row>
    <row r="66" spans="1:10" ht="183.75" customHeight="1">
      <c r="A66" s="61" t="s">
        <v>194</v>
      </c>
      <c r="B66" s="63" t="str">
        <f>INDEX('작업 관리'!$C$9:$C$77,MATCH($A66,'작업 관리'!$A$9:$A$77,0))</f>
        <v>규칙 단계·패널·검출 상태 통합 검수</v>
      </c>
      <c r="C66" s="62" t="s">
        <v>522</v>
      </c>
      <c r="D66" s="63" t="s">
        <v>511</v>
      </c>
      <c r="E66" s="62" t="s">
        <v>523</v>
      </c>
      <c r="F66" s="63" t="s">
        <v>524</v>
      </c>
      <c r="G66" s="64"/>
      <c r="H66" s="59" t="s">
        <v>525</v>
      </c>
      <c r="I66" s="59" t="s">
        <v>526</v>
      </c>
      <c r="J66" s="59" t="s">
        <v>527</v>
      </c>
    </row>
    <row r="67" spans="1:10" ht="85.5" customHeight="1">
      <c r="A67" s="61" t="s">
        <v>196</v>
      </c>
      <c r="B67" s="63" t="str">
        <f>INDEX('작업 관리'!$C$9:$C$77,MATCH($A67,'작업 관리'!$A$9:$A$77,0))</f>
        <v>수강생 비교 실험</v>
      </c>
      <c r="C67" s="62" t="s">
        <v>83</v>
      </c>
      <c r="D67" s="63" t="s">
        <v>528</v>
      </c>
      <c r="E67" s="62" t="s">
        <v>529</v>
      </c>
      <c r="F67" s="62" t="s">
        <v>530</v>
      </c>
      <c r="G67" s="64"/>
      <c r="H67" s="59" t="s">
        <v>531</v>
      </c>
      <c r="I67" s="59" t="s">
        <v>532</v>
      </c>
      <c r="J67" s="59" t="s">
        <v>335</v>
      </c>
    </row>
    <row r="68" spans="1:10" ht="150" customHeight="1">
      <c r="A68" s="61" t="s">
        <v>198</v>
      </c>
      <c r="B68" s="63" t="str">
        <f>INDEX('작업 관리'!$C$9:$C$77,MATCH($A68,'작업 관리'!$A$9:$A$77,0))</f>
        <v>오류 수정과 재검증</v>
      </c>
      <c r="C68" s="62" t="s">
        <v>444</v>
      </c>
      <c r="D68" s="63" t="s">
        <v>533</v>
      </c>
      <c r="E68" s="62" t="s">
        <v>534</v>
      </c>
      <c r="F68" s="62" t="s">
        <v>535</v>
      </c>
      <c r="G68" s="64"/>
      <c r="H68" s="59" t="s">
        <v>536</v>
      </c>
      <c r="I68" s="59" t="s">
        <v>537</v>
      </c>
      <c r="J68" s="59" t="s">
        <v>538</v>
      </c>
    </row>
    <row r="69" spans="1:10" ht="183.75" customHeight="1">
      <c r="A69" s="61" t="s">
        <v>200</v>
      </c>
      <c r="B69" s="63" t="str">
        <f>INDEX('작업 관리'!$C$9:$C$77,MATCH($A69,'작업 관리'!$A$9:$A$77,0))</f>
        <v>검증 보고서와 최종 범위 고정</v>
      </c>
      <c r="C69" s="62" t="s">
        <v>98</v>
      </c>
      <c r="D69" s="63" t="s">
        <v>539</v>
      </c>
      <c r="E69" s="62" t="s">
        <v>540</v>
      </c>
      <c r="F69" s="62" t="s">
        <v>541</v>
      </c>
      <c r="G69" s="64"/>
      <c r="H69" s="59" t="s">
        <v>542</v>
      </c>
      <c r="I69" s="59" t="s">
        <v>543</v>
      </c>
      <c r="J69" s="59" t="s">
        <v>544</v>
      </c>
    </row>
    <row r="70" spans="1:10" ht="85.5" customHeight="1">
      <c r="A70" s="61" t="s">
        <v>50</v>
      </c>
      <c r="B70" s="63" t="str">
        <f>INDEX('작업 관리'!$C$9:$C$77,MATCH($A70,'작업 관리'!$A$9:$A$77,0))</f>
        <v>핵심 구현과 검증 마감</v>
      </c>
      <c r="C70" s="62" t="s">
        <v>236</v>
      </c>
      <c r="D70" s="63" t="s">
        <v>200</v>
      </c>
      <c r="E70" s="62" t="s">
        <v>545</v>
      </c>
      <c r="F70" s="62" t="s">
        <v>546</v>
      </c>
      <c r="G70" s="64"/>
      <c r="H70" s="59" t="s">
        <v>547</v>
      </c>
      <c r="I70" s="59" t="s">
        <v>548</v>
      </c>
      <c r="J70" s="59" t="s">
        <v>335</v>
      </c>
    </row>
    <row r="71" spans="1:10" ht="183.75" customHeight="1">
      <c r="A71" s="61" t="s">
        <v>203</v>
      </c>
      <c r="B71" s="63" t="str">
        <f>INDEX('작업 관리'!$C$9:$C$77,MATCH($A71,'작업 관리'!$A$9:$A$77,0))</f>
        <v>실행 안내와 데이터 문서 정리</v>
      </c>
      <c r="C71" s="62" t="s">
        <v>9</v>
      </c>
      <c r="D71" s="63" t="s">
        <v>50</v>
      </c>
      <c r="E71" s="63" t="s">
        <v>549</v>
      </c>
      <c r="F71" s="62" t="s">
        <v>550</v>
      </c>
      <c r="G71" s="64"/>
      <c r="H71" s="59" t="s">
        <v>551</v>
      </c>
      <c r="I71" s="59" t="s">
        <v>552</v>
      </c>
      <c r="J71" s="59" t="s">
        <v>553</v>
      </c>
    </row>
    <row r="72" spans="1:10" ht="166.5" customHeight="1">
      <c r="A72" s="61" t="s">
        <v>205</v>
      </c>
      <c r="B72" s="63" t="str">
        <f>INDEX('작업 관리'!$C$9:$C$77,MATCH($A72,'작업 관리'!$A$9:$A$77,0))</f>
        <v>발표자료와 스토리 최종 반영</v>
      </c>
      <c r="C72" s="62" t="s">
        <v>98</v>
      </c>
      <c r="D72" s="63" t="s">
        <v>50</v>
      </c>
      <c r="E72" s="62" t="s">
        <v>554</v>
      </c>
      <c r="F72" s="62" t="s">
        <v>555</v>
      </c>
      <c r="G72" s="64"/>
      <c r="H72" s="59" t="s">
        <v>556</v>
      </c>
      <c r="I72" s="59" t="s">
        <v>557</v>
      </c>
      <c r="J72" s="59" t="s">
        <v>558</v>
      </c>
    </row>
    <row r="73" spans="1:10" ht="201" customHeight="1">
      <c r="A73" s="61" t="s">
        <v>207</v>
      </c>
      <c r="B73" s="63" t="str">
        <f>INDEX('작업 관리'!$C$9:$C$77,MATCH($A73,'작업 관리'!$A$9:$A$77,0))</f>
        <v>시연 영상과 예비 시연 준비</v>
      </c>
      <c r="C73" s="62" t="s">
        <v>98</v>
      </c>
      <c r="D73" s="63" t="s">
        <v>559</v>
      </c>
      <c r="E73" s="62" t="s">
        <v>560</v>
      </c>
      <c r="F73" s="62" t="s">
        <v>561</v>
      </c>
      <c r="G73" s="64"/>
      <c r="H73" s="59" t="s">
        <v>562</v>
      </c>
      <c r="I73" s="59" t="s">
        <v>563</v>
      </c>
      <c r="J73" s="59" t="s">
        <v>241</v>
      </c>
    </row>
    <row r="74" spans="1:10" ht="85.5" customHeight="1">
      <c r="A74" s="61" t="s">
        <v>209</v>
      </c>
      <c r="B74" s="63" t="str">
        <f>INDEX('작업 관리'!$C$9:$C$77,MATCH($A74,'작업 관리'!$A$9:$A$77,0))</f>
        <v>제출 파일과 재현성 점검</v>
      </c>
      <c r="C74" s="62" t="s">
        <v>88</v>
      </c>
      <c r="D74" s="63" t="s">
        <v>564</v>
      </c>
      <c r="E74" s="62" t="s">
        <v>565</v>
      </c>
      <c r="F74" s="62" t="s">
        <v>566</v>
      </c>
      <c r="G74" s="64"/>
      <c r="H74" s="59" t="s">
        <v>567</v>
      </c>
      <c r="I74" s="59" t="s">
        <v>568</v>
      </c>
      <c r="J74" s="59" t="s">
        <v>241</v>
      </c>
    </row>
    <row r="75" spans="1:10" ht="85.5" customHeight="1">
      <c r="A75" s="61" t="s">
        <v>211</v>
      </c>
      <c r="B75" s="63" t="str">
        <f>INDEX('작업 관리'!$C$9:$C$77,MATCH($A75,'작업 관리'!$A$9:$A$77,0))</f>
        <v>발표 리허설과 질의응답 준비</v>
      </c>
      <c r="C75" s="62" t="s">
        <v>236</v>
      </c>
      <c r="D75" s="63" t="s">
        <v>205</v>
      </c>
      <c r="E75" s="62" t="s">
        <v>569</v>
      </c>
      <c r="F75" s="63" t="s">
        <v>570</v>
      </c>
      <c r="G75" s="64"/>
      <c r="H75" s="59" t="s">
        <v>571</v>
      </c>
      <c r="I75" s="59"/>
      <c r="J75" s="59" t="s">
        <v>335</v>
      </c>
    </row>
    <row r="76" spans="1:10" ht="85.5" customHeight="1">
      <c r="A76" s="61" t="s">
        <v>51</v>
      </c>
      <c r="B76" s="63" t="str">
        <f>INDEX('작업 관리'!$C$9:$C$77,MATCH($A76,'작업 관리'!$A$9:$A$77,0))</f>
        <v>최종 산출물 제출</v>
      </c>
      <c r="C76" s="62" t="s">
        <v>83</v>
      </c>
      <c r="D76" s="63" t="s">
        <v>572</v>
      </c>
      <c r="E76" s="62" t="s">
        <v>573</v>
      </c>
      <c r="F76" s="62" t="s">
        <v>574</v>
      </c>
      <c r="G76" s="64"/>
      <c r="H76" s="59" t="s">
        <v>575</v>
      </c>
      <c r="I76" s="59"/>
      <c r="J76" s="59" t="s">
        <v>335</v>
      </c>
    </row>
    <row r="77" spans="1:10" ht="85.5" customHeight="1">
      <c r="A77" s="61" t="s">
        <v>52</v>
      </c>
      <c r="B77" s="63" t="str">
        <f>INDEX('작업 관리'!$C$9:$C$77,MATCH($A77,'작업 관리'!$A$9:$A$77,0))</f>
        <v>프로젝트 발표</v>
      </c>
      <c r="C77" s="62" t="s">
        <v>236</v>
      </c>
      <c r="D77" s="63" t="s">
        <v>51</v>
      </c>
      <c r="E77" s="62" t="s">
        <v>576</v>
      </c>
      <c r="F77" s="62" t="s">
        <v>577</v>
      </c>
      <c r="G77" s="64"/>
      <c r="H77" s="59" t="s">
        <v>578</v>
      </c>
      <c r="I77" s="59"/>
      <c r="J77" s="59" t="s">
        <v>579</v>
      </c>
    </row>
  </sheetData>
  <phoneticPr fontId="20" type="noConversion"/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한눈에 보기</vt:lpstr>
      <vt:lpstr>작업 관리</vt:lpstr>
      <vt:lpstr>일정</vt:lpstr>
      <vt:lpstr>완료 기준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2026-10-27T08:10:07Z</dcterms:created>
  <dcterms:modified xsi:type="dcterms:W3CDTF">2026-10-27T08:20:41Z</dcterms:modified>
  <dc:language>en-US</dc:language>
</cp:coreProperties>
</file>